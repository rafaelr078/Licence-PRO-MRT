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Licence PRO MRT\Candidature\"/>
    </mc:Choice>
  </mc:AlternateContent>
  <xr:revisionPtr revIDLastSave="0" documentId="13_ncr:1_{DB5D8FBF-7349-4BC2-B5E9-5BB0740B09C0}" xr6:coauthVersionLast="47" xr6:coauthVersionMax="47" xr10:uidLastSave="{00000000-0000-0000-0000-000000000000}"/>
  <bookViews>
    <workbookView xWindow="38280" yWindow="-120" windowWidth="29040" windowHeight="15720" xr2:uid="{A3A85266-84E7-4DAC-8521-B115BD86E3D8}"/>
  </bookViews>
  <sheets>
    <sheet name="Candidature" sheetId="4" r:id="rId1"/>
    <sheet name="Contact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4" i="2" l="1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L40" i="4"/>
  <c r="L39" i="4"/>
  <c r="L38" i="4"/>
  <c r="L37" i="4"/>
  <c r="J38" i="4"/>
  <c r="J37" i="4"/>
  <c r="J39" i="4"/>
  <c r="J40" i="4" s="1"/>
  <c r="A157" i="2"/>
  <c r="A158" i="2"/>
  <c r="A159" i="2"/>
  <c r="A151" i="2"/>
  <c r="A152" i="2"/>
  <c r="A153" i="2"/>
  <c r="A154" i="2"/>
  <c r="A155" i="2"/>
  <c r="A156" i="2"/>
  <c r="A149" i="2"/>
  <c r="A150" i="2"/>
  <c r="A143" i="2"/>
  <c r="A142" i="2"/>
  <c r="A144" i="2"/>
  <c r="A145" i="2"/>
  <c r="A146" i="2"/>
  <c r="A147" i="2"/>
  <c r="A148" i="2"/>
  <c r="A138" i="2"/>
  <c r="A139" i="2"/>
  <c r="A140" i="2"/>
  <c r="A141" i="2"/>
  <c r="A128" i="2"/>
  <c r="A129" i="2"/>
  <c r="A130" i="2"/>
  <c r="A131" i="2"/>
  <c r="A132" i="2"/>
  <c r="A133" i="2"/>
  <c r="A134" i="2"/>
  <c r="A135" i="2"/>
  <c r="A136" i="2"/>
  <c r="A137" i="2"/>
  <c r="A122" i="2"/>
  <c r="A123" i="2"/>
  <c r="A124" i="2"/>
  <c r="A125" i="2"/>
  <c r="A126" i="2"/>
  <c r="A127" i="2"/>
  <c r="A117" i="2"/>
  <c r="A118" i="2"/>
  <c r="A119" i="2"/>
  <c r="A120" i="2"/>
  <c r="A121" i="2"/>
  <c r="A114" i="2"/>
  <c r="A115" i="2"/>
  <c r="A116" i="2"/>
  <c r="A109" i="2"/>
  <c r="A110" i="2"/>
  <c r="A111" i="2"/>
  <c r="A112" i="2"/>
  <c r="A113" i="2"/>
  <c r="A101" i="2"/>
  <c r="A102" i="2"/>
  <c r="A103" i="2"/>
  <c r="A104" i="2"/>
  <c r="A105" i="2"/>
  <c r="A106" i="2"/>
  <c r="A107" i="2"/>
  <c r="A108" i="2"/>
  <c r="A95" i="2"/>
  <c r="A96" i="2"/>
  <c r="A97" i="2"/>
  <c r="A98" i="2"/>
  <c r="A99" i="2"/>
  <c r="A100" i="2"/>
  <c r="A87" i="2"/>
  <c r="A88" i="2"/>
  <c r="A89" i="2"/>
  <c r="A90" i="2"/>
  <c r="A91" i="2"/>
  <c r="A92" i="2"/>
  <c r="A93" i="2"/>
  <c r="A94" i="2"/>
  <c r="A83" i="2"/>
  <c r="A84" i="2"/>
  <c r="A85" i="2"/>
  <c r="A86" i="2"/>
  <c r="A81" i="2"/>
  <c r="A82" i="2"/>
  <c r="A80" i="2"/>
  <c r="A69" i="2"/>
  <c r="A70" i="2"/>
  <c r="A71" i="2"/>
  <c r="A72" i="2"/>
  <c r="A73" i="2"/>
  <c r="A74" i="2"/>
  <c r="A75" i="2"/>
  <c r="A76" i="2"/>
  <c r="A77" i="2"/>
  <c r="A78" i="2"/>
  <c r="A79" i="2"/>
  <c r="A62" i="2"/>
  <c r="A63" i="2"/>
  <c r="A64" i="2"/>
  <c r="A65" i="2"/>
  <c r="A66" i="2"/>
  <c r="A67" i="2"/>
  <c r="A68" i="2"/>
  <c r="A56" i="2"/>
  <c r="A57" i="2"/>
  <c r="A58" i="2"/>
  <c r="A59" i="2"/>
  <c r="A60" i="2"/>
  <c r="A61" i="2"/>
  <c r="A47" i="2"/>
  <c r="A48" i="2"/>
  <c r="A49" i="2"/>
  <c r="A50" i="2"/>
  <c r="A51" i="2"/>
  <c r="A52" i="2"/>
  <c r="A53" i="2"/>
  <c r="A54" i="2"/>
  <c r="A55" i="2"/>
  <c r="J2" i="2"/>
  <c r="J3" i="2"/>
  <c r="J4" i="2"/>
  <c r="J5" i="2"/>
  <c r="J6" i="2"/>
  <c r="J7" i="2"/>
  <c r="J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</calcChain>
</file>

<file path=xl/sharedStrings.xml><?xml version="1.0" encoding="utf-8"?>
<sst xmlns="http://schemas.openxmlformats.org/spreadsheetml/2006/main" count="868" uniqueCount="310">
  <si>
    <t>Date</t>
  </si>
  <si>
    <t>Nom d'entreprise</t>
  </si>
  <si>
    <t>Offre</t>
  </si>
  <si>
    <t>Adresse mail</t>
  </si>
  <si>
    <t>Numéro de téléphone</t>
  </si>
  <si>
    <t>MyTelec om Entreprises</t>
  </si>
  <si>
    <t>Spontannée</t>
  </si>
  <si>
    <t>Retour</t>
  </si>
  <si>
    <t>contact@mytelecom-entreprises.fr</t>
  </si>
  <si>
    <t>04.78.72.02.11</t>
  </si>
  <si>
    <t>VousFaciliterIT</t>
  </si>
  <si>
    <t>08.26.04.40.44</t>
  </si>
  <si>
    <t>RTEAM</t>
  </si>
  <si>
    <t>04 49 23 03 66</t>
  </si>
  <si>
    <t>Lieu</t>
  </si>
  <si>
    <t>Alleo</t>
  </si>
  <si>
    <t>01.40.52.30.50</t>
  </si>
  <si>
    <t>KTNS</t>
  </si>
  <si>
    <t>candidature@k-tns.com</t>
  </si>
  <si>
    <t>09 86 36 67 11</t>
  </si>
  <si>
    <t>TDF</t>
  </si>
  <si>
    <t>A appeler</t>
  </si>
  <si>
    <t>01.55.95.10.00</t>
  </si>
  <si>
    <t>Paritel</t>
  </si>
  <si>
    <t>01.85.53.59.49</t>
  </si>
  <si>
    <t>Tibco</t>
  </si>
  <si>
    <t>01.39.86.64.83</t>
  </si>
  <si>
    <t>Rhôn TELECOM</t>
  </si>
  <si>
    <t>04.27.44.41.79</t>
  </si>
  <si>
    <t>KSTelecom</t>
  </si>
  <si>
    <t>08 25 01 40 16</t>
  </si>
  <si>
    <t>MonacoTelecom</t>
  </si>
  <si>
    <t xml:space="preserve">recrutement@monaco-telecom.mc </t>
  </si>
  <si>
    <t>+377 99 66 33 00</t>
  </si>
  <si>
    <t>Com Network</t>
  </si>
  <si>
    <t>08 25 74 56 92</t>
  </si>
  <si>
    <t>recrutement@rhon-telecom.fr</t>
  </si>
  <si>
    <t>dpo@groupeks.com</t>
  </si>
  <si>
    <t>rssi.rssi@tdf.fr</t>
  </si>
  <si>
    <t>web@paritel.fr</t>
  </si>
  <si>
    <t>contact@tibco.fr</t>
  </si>
  <si>
    <t>contact@vflit.fr</t>
  </si>
  <si>
    <t>contact@recruteam.fr</t>
  </si>
  <si>
    <t>Telec FR</t>
  </si>
  <si>
    <t>peyroutet@peyroutet.fr</t>
  </si>
  <si>
    <t>05.59.81.30.30</t>
  </si>
  <si>
    <t>FreePRO</t>
  </si>
  <si>
    <t>recrutement@freepro.com</t>
  </si>
  <si>
    <t>01.83.65.99.00</t>
  </si>
  <si>
    <t>En attente</t>
  </si>
  <si>
    <t>Open Global</t>
  </si>
  <si>
    <t>ExtremIT</t>
  </si>
  <si>
    <t>03 20 64 66 06</t>
  </si>
  <si>
    <t>ODYC C</t>
  </si>
  <si>
    <t>02.23.27.89.24</t>
  </si>
  <si>
    <t>Socotec Construction</t>
  </si>
  <si>
    <t>01.39.08.27.83</t>
  </si>
  <si>
    <t>RTE France</t>
  </si>
  <si>
    <t>Nom hopital</t>
  </si>
  <si>
    <t>LaporteVerte</t>
  </si>
  <si>
    <t>Style</t>
  </si>
  <si>
    <t>Status</t>
  </si>
  <si>
    <t>Candidature</t>
  </si>
  <si>
    <t>J'ai postulé</t>
  </si>
  <si>
    <t>Refus</t>
  </si>
  <si>
    <t>01.39.63.74.00</t>
  </si>
  <si>
    <t>Versaille</t>
  </si>
  <si>
    <t>Groupe Hospitalier Nord Essonne</t>
  </si>
  <si>
    <t>H Paris Est</t>
  </si>
  <si>
    <t>CH Rives de Seine</t>
  </si>
  <si>
    <t>American Hospital Paris</t>
  </si>
  <si>
    <t>CHSF</t>
  </si>
  <si>
    <t>Statut</t>
  </si>
  <si>
    <t>Spontanée</t>
  </si>
  <si>
    <t>Email</t>
  </si>
  <si>
    <t>LinkdIn</t>
  </si>
  <si>
    <t>HelloWork</t>
  </si>
  <si>
    <t>Indeed</t>
  </si>
  <si>
    <t>Plus d'offre d'alternance</t>
  </si>
  <si>
    <t>Fichet Group</t>
  </si>
  <si>
    <t>01.34.65.65.34</t>
  </si>
  <si>
    <t>MainCare</t>
  </si>
  <si>
    <t>Mai 2026 pour Septembre</t>
  </si>
  <si>
    <t>recrutement@fichetgroup.com</t>
  </si>
  <si>
    <t>Evidensee</t>
  </si>
  <si>
    <t>08 11 39 23 92</t>
  </si>
  <si>
    <t>ApprentiTechnicien Support et Réseau</t>
  </si>
  <si>
    <t>Groupe Savencia</t>
  </si>
  <si>
    <t>01.34.58.63.00</t>
  </si>
  <si>
    <t>Alternant en Système d'Information</t>
  </si>
  <si>
    <t>job-ref-ghnhfpe5pd@emploi.beetween.com</t>
  </si>
  <si>
    <t>Aix-Marseille Université (AMU)</t>
  </si>
  <si>
    <t>Klapierre</t>
  </si>
  <si>
    <t>01.40.67.54.00</t>
  </si>
  <si>
    <t>CDC Informatique</t>
  </si>
  <si>
    <t>Forsee Power</t>
  </si>
  <si>
    <t>01.58.91.69.00</t>
  </si>
  <si>
    <t>ALTERNANCE - Informatique</t>
  </si>
  <si>
    <t>JULBO</t>
  </si>
  <si>
    <t>Assistant Technique  Informatique</t>
  </si>
  <si>
    <t>Extia</t>
  </si>
  <si>
    <t>Leonix</t>
  </si>
  <si>
    <t>Appel reçu</t>
  </si>
  <si>
    <t>alexandre.regis@vditelecom.fr</t>
  </si>
  <si>
    <t>Colonne1</t>
  </si>
  <si>
    <t>Appel émis</t>
  </si>
  <si>
    <t>Reçu une adresse mail</t>
  </si>
  <si>
    <t>Information</t>
  </si>
  <si>
    <t>Appel payant flemme</t>
  </si>
  <si>
    <t>M.Masto : 06.26.27.67.47</t>
  </si>
  <si>
    <t>Ne prend pas d'alternant</t>
  </si>
  <si>
    <t>contact@alleo.fr</t>
  </si>
  <si>
    <t>Sp + Email</t>
  </si>
  <si>
    <t>Sp + HW</t>
  </si>
  <si>
    <t>H + Email</t>
  </si>
  <si>
    <t>Sp + Appel</t>
  </si>
  <si>
    <t>Sp + @ + Appel</t>
  </si>
  <si>
    <t>Entretien télé avec une RH</t>
  </si>
  <si>
    <t>Sii Group</t>
  </si>
  <si>
    <t>recrutement_SII-IDF@sii.fr</t>
  </si>
  <si>
    <t>01.75.60.16.68</t>
  </si>
  <si>
    <t>DSTNY</t>
  </si>
  <si>
    <t>Ciel tecom</t>
  </si>
  <si>
    <t>Blue ( Breragne )</t>
  </si>
  <si>
    <t>Coriolis Entreprise</t>
  </si>
  <si>
    <t>01 34 90 06 08</t>
  </si>
  <si>
    <t xml:space="preserve">keyyo </t>
  </si>
  <si>
    <t>Open France</t>
  </si>
  <si>
    <t>Stelogy</t>
  </si>
  <si>
    <t>CELAD</t>
  </si>
  <si>
    <t>offre</t>
  </si>
  <si>
    <t>InfoTem</t>
  </si>
  <si>
    <t>Type</t>
  </si>
  <si>
    <t>Télécom</t>
  </si>
  <si>
    <t>ESN</t>
  </si>
  <si>
    <t>Objectware</t>
  </si>
  <si>
    <t>Smartpoint</t>
  </si>
  <si>
    <t>Opeamis</t>
  </si>
  <si>
    <t>rh@opteamis.com</t>
  </si>
  <si>
    <t>Citech</t>
  </si>
  <si>
    <t>Tim-tek</t>
  </si>
  <si>
    <t>Externatic</t>
  </si>
  <si>
    <t>Shape IT</t>
  </si>
  <si>
    <t>contact@shape-it.io</t>
  </si>
  <si>
    <t>Apollo</t>
  </si>
  <si>
    <t>Inforca</t>
  </si>
  <si>
    <t>VISEO</t>
  </si>
  <si>
    <t>MandarineSolotions</t>
  </si>
  <si>
    <t>Decivision</t>
  </si>
  <si>
    <t>Asitix</t>
  </si>
  <si>
    <t>Ceoris</t>
  </si>
  <si>
    <t>Anaya</t>
  </si>
  <si>
    <t>ESN Marseille</t>
  </si>
  <si>
    <t>01.46.07.52.44</t>
  </si>
  <si>
    <t>Neurones</t>
  </si>
  <si>
    <t>Elitis</t>
  </si>
  <si>
    <t>06 74 90 27 94</t>
  </si>
  <si>
    <t>Infotel</t>
  </si>
  <si>
    <t>L'Atelierdu Mac</t>
  </si>
  <si>
    <t>Nextin Com</t>
  </si>
  <si>
    <t>Coexel</t>
  </si>
  <si>
    <t>Izencia</t>
  </si>
  <si>
    <t>Iocean</t>
  </si>
  <si>
    <t>Pas en recherche d'alternant</t>
  </si>
  <si>
    <t>vincent.totey@anaya-france.eu / recrutement@anaya.fr</t>
  </si>
  <si>
    <t>Ecritel</t>
  </si>
  <si>
    <t>Pas d'alternance en technique</t>
  </si>
  <si>
    <t>Groupe GTH</t>
  </si>
  <si>
    <t>contact@groupe-gth.com</t>
  </si>
  <si>
    <t>01 47 61 96 31</t>
  </si>
  <si>
    <t>Skillsfirst</t>
  </si>
  <si>
    <t>DVIDSON</t>
  </si>
  <si>
    <t>ELEPHANT</t>
  </si>
  <si>
    <t>LEYTON</t>
  </si>
  <si>
    <t>Proxiteam</t>
  </si>
  <si>
    <t>Fenyx</t>
  </si>
  <si>
    <t>Capital Informatique</t>
  </si>
  <si>
    <t>W3 Plus</t>
  </si>
  <si>
    <t>Proelan</t>
  </si>
  <si>
    <t>Selfing</t>
  </si>
  <si>
    <t>Eita Consulting</t>
  </si>
  <si>
    <t>Nicoka</t>
  </si>
  <si>
    <t>Atelian</t>
  </si>
  <si>
    <t>H Robert-Debré</t>
  </si>
  <si>
    <t>Hopital</t>
  </si>
  <si>
    <t>Aman International</t>
  </si>
  <si>
    <t>?</t>
  </si>
  <si>
    <t>StormShield</t>
  </si>
  <si>
    <t>intertek</t>
  </si>
  <si>
    <t>Digitalis</t>
  </si>
  <si>
    <t>Blue Search</t>
  </si>
  <si>
    <t>Cegi</t>
  </si>
  <si>
    <t>Okuden</t>
  </si>
  <si>
    <t>Occicom</t>
  </si>
  <si>
    <t>Serfim T.I.C</t>
  </si>
  <si>
    <t>Sciendi</t>
  </si>
  <si>
    <t>MGI</t>
  </si>
  <si>
    <t>Activus</t>
  </si>
  <si>
    <t>H Poissy</t>
  </si>
  <si>
    <t>M.Sartrouvile</t>
  </si>
  <si>
    <t>Mairie</t>
  </si>
  <si>
    <t>Ville de Plaisir</t>
  </si>
  <si>
    <t>Agexis</t>
  </si>
  <si>
    <t>La Bonne Alternance</t>
  </si>
  <si>
    <t>Contact@agexis.com</t>
  </si>
  <si>
    <t>Direction générale du trésor</t>
  </si>
  <si>
    <t>Hexel</t>
  </si>
  <si>
    <t>Atimic</t>
  </si>
  <si>
    <t>VerySwing</t>
  </si>
  <si>
    <t>Telecoms Entreprises</t>
  </si>
  <si>
    <t>infos@telecoms-entreprises.com</t>
  </si>
  <si>
    <t>NGE</t>
  </si>
  <si>
    <t>Groupe SNEF</t>
  </si>
  <si>
    <t>NXO</t>
  </si>
  <si>
    <t>Axiane</t>
  </si>
  <si>
    <t>DIAKELYS</t>
  </si>
  <si>
    <t>Finaxy</t>
  </si>
  <si>
    <t>01.80.18.86.86</t>
  </si>
  <si>
    <t>FAI</t>
  </si>
  <si>
    <t>Axe Informatique</t>
  </si>
  <si>
    <t>Lumiere</t>
  </si>
  <si>
    <t>01.56.47.01.40</t>
  </si>
  <si>
    <t>Europ net</t>
  </si>
  <si>
    <t>SAML Fayat</t>
  </si>
  <si>
    <t>Groupe DERET</t>
  </si>
  <si>
    <t>Celink</t>
  </si>
  <si>
    <t>ECE Groupe</t>
  </si>
  <si>
    <t>Synovo Group</t>
  </si>
  <si>
    <t>Plateformi</t>
  </si>
  <si>
    <t>TP-Link</t>
  </si>
  <si>
    <t>hr.fr@tp-link.com</t>
  </si>
  <si>
    <t>Royal Kaak</t>
  </si>
  <si>
    <t>ATIF</t>
  </si>
  <si>
    <t>La fibre numérique</t>
  </si>
  <si>
    <t>Le Lorec</t>
  </si>
  <si>
    <t>AEROSPACE CLUSTER</t>
  </si>
  <si>
    <t>RH Partners</t>
  </si>
  <si>
    <t>STAFF U</t>
  </si>
  <si>
    <t>XP Fibre</t>
  </si>
  <si>
    <t>Sictiam</t>
  </si>
  <si>
    <t>FC NET</t>
  </si>
  <si>
    <t>1Pact</t>
  </si>
  <si>
    <t>GKACTIV</t>
  </si>
  <si>
    <t>Idal groupe</t>
  </si>
  <si>
    <t>Aéos</t>
  </si>
  <si>
    <t>HydroGain</t>
  </si>
  <si>
    <t>Fiveaday</t>
  </si>
  <si>
    <t>AtlantiC Ingénierie</t>
  </si>
  <si>
    <t>Nexacom</t>
  </si>
  <si>
    <t>TC Consulting</t>
  </si>
  <si>
    <t>Auranext</t>
  </si>
  <si>
    <t>contact@auranext.com.</t>
  </si>
  <si>
    <t>France médias monde</t>
  </si>
  <si>
    <t>Clauger</t>
  </si>
  <si>
    <t>Harry-hope</t>
  </si>
  <si>
    <t>Talents Baryton</t>
  </si>
  <si>
    <t>Combeconsulting</t>
  </si>
  <si>
    <t>Alternative-recrutement</t>
  </si>
  <si>
    <t>Planete plus</t>
  </si>
  <si>
    <t>Info Jeunes</t>
  </si>
  <si>
    <t>Lessard</t>
  </si>
  <si>
    <t>Seenovate</t>
  </si>
  <si>
    <t>MyfairJob</t>
  </si>
  <si>
    <t>Agisti</t>
  </si>
  <si>
    <t>Les Paipillons blancs</t>
  </si>
  <si>
    <t>Midi et demi</t>
  </si>
  <si>
    <t>Bog Pro</t>
  </si>
  <si>
    <t>Odyssee</t>
  </si>
  <si>
    <t>Habitat 44</t>
  </si>
  <si>
    <t>Sotrama</t>
  </si>
  <si>
    <t>ACS IT</t>
  </si>
  <si>
    <t>Ville de Houilles</t>
  </si>
  <si>
    <t>Mairie de trappes</t>
  </si>
  <si>
    <t>Coignieres</t>
  </si>
  <si>
    <t>Sartrouville</t>
  </si>
  <si>
    <t>Maisons Lafitte</t>
  </si>
  <si>
    <t>Carriere sous poissy</t>
  </si>
  <si>
    <t>LePerray</t>
  </si>
  <si>
    <t>Maurepas</t>
  </si>
  <si>
    <t>Chevreuse</t>
  </si>
  <si>
    <t xml:space="preserve">Saint-Quentin </t>
  </si>
  <si>
    <t>Poissy</t>
  </si>
  <si>
    <t>Pas d'info</t>
  </si>
  <si>
    <t>Pas de poste d'alternance</t>
  </si>
  <si>
    <t>Non favorable</t>
  </si>
  <si>
    <t>Prend pas d'alternance</t>
  </si>
  <si>
    <t>Colonne2</t>
  </si>
  <si>
    <t>Colonne3</t>
  </si>
  <si>
    <t>Colonne4</t>
  </si>
  <si>
    <t xml:space="preserve">Appel reçu </t>
  </si>
  <si>
    <t>Total</t>
  </si>
  <si>
    <t>Velizy</t>
  </si>
  <si>
    <t>Sagemcom</t>
  </si>
  <si>
    <t>Groupe SAPH</t>
  </si>
  <si>
    <t>Abylsen</t>
  </si>
  <si>
    <t>Gt-Cornouille</t>
  </si>
  <si>
    <t>Transatel</t>
  </si>
  <si>
    <t>Vistandcom</t>
  </si>
  <si>
    <t>recrutements@vist-and.com </t>
  </si>
  <si>
    <t>AsinInformatique</t>
  </si>
  <si>
    <t>Groupe ceme</t>
  </si>
  <si>
    <t>Groupe PANDORA</t>
  </si>
  <si>
    <t>IT Link</t>
  </si>
  <si>
    <t>Groupe PARERA</t>
  </si>
  <si>
    <t>Provectio</t>
  </si>
  <si>
    <t>Elios</t>
  </si>
  <si>
    <t>Enedis</t>
  </si>
  <si>
    <t>Correspond pas au profil</t>
  </si>
  <si>
    <t>Pas adapté</t>
  </si>
  <si>
    <t>Pas d'alternant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</si>
</sst>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0" fillId="2" borderId="0" xfId="0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3" borderId="0" xfId="0" applyNumberFormat="1" applyFill="1"/>
    <xf numFmtId="0" fontId="0" fillId="8" borderId="0" xfId="0" applyFill="1"/>
    <xf numFmtId="14" fontId="2" fillId="0" borderId="0" xfId="0" applyNumberFormat="1" applyFont="1"/>
    <xf numFmtId="0" fontId="2" fillId="0" borderId="0" xfId="0" applyFont="1"/>
    <xf numFmtId="14" fontId="0" fillId="0" borderId="0" xfId="0" applyNumberFormat="1"/>
    <xf numFmtId="0" fontId="1" fillId="0" borderId="0" xfId="1" applyFill="1"/>
    <xf numFmtId="0" fontId="4" fillId="0" borderId="0" xfId="0" applyFont="1"/>
    <xf numFmtId="0" fontId="3" fillId="0" borderId="0" xfId="1" applyFont="1" applyFill="1"/>
    <xf numFmtId="14" fontId="0" fillId="8" borderId="0" xfId="0" applyNumberFormat="1" applyFill="1"/>
    <xf numFmtId="0" fontId="1" fillId="8" borderId="0" xfId="1" applyFill="1"/>
    <xf numFmtId="14" fontId="1" fillId="0" borderId="0" xfId="1" applyNumberFormat="1" applyFill="1"/>
    <xf numFmtId="0" fontId="1" fillId="0" borderId="0" xfId="1"/>
    <xf numFmtId="14" fontId="1" fillId="0" borderId="0" xfId="1" applyNumberFormat="1"/>
    <xf numFmtId="0" fontId="1" fillId="3" borderId="0" xfId="1" applyFill="1"/>
    <xf numFmtId="0" fontId="1" fillId="0" borderId="0" xfId="1" applyNumberFormat="1" applyFill="1"/>
    <xf numFmtId="20" fontId="0" fillId="8" borderId="0" xfId="0" applyNumberFormat="1" applyFill="1"/>
    <xf numFmtId="0" fontId="0" fillId="4" borderId="0" xfId="0" applyFill="1"/>
  </cellXfs>
  <cellStyles count="2">
    <cellStyle name="Lien hypertexte" xfId="1" builtinId="8"/>
    <cellStyle name="Normal" xfId="0" builtinId="0"/>
  </cellStyles>
  <dxfs count="40">
    <dxf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rgb="FFFFC000"/>
      </font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border diagonalDown="1">
        <bottom style="medium">
          <color auto="1"/>
        </bottom>
        <diagonal style="medium">
          <color auto="1"/>
        </diagonal>
      </border>
    </dxf>
    <dxf>
      <fill>
        <patternFill>
          <bgColor theme="9" tint="0.59996337778862885"/>
        </patternFill>
      </fill>
    </dxf>
    <dxf>
      <border>
        <left style="thick">
          <color auto="1"/>
        </left>
      </border>
    </dxf>
    <dxf>
      <border>
        <left style="medium">
          <color theme="1"/>
        </left>
        <vertical style="thin">
          <color theme="3" tint="9.9887081514938816E-2"/>
        </vertical>
        <horizontal style="medium">
          <color theme="1"/>
        </horizontal>
      </border>
    </dxf>
    <dxf>
      <fill>
        <patternFill>
          <bgColor theme="3" tint="0.89996032593768116"/>
        </patternFill>
      </fill>
      <border diagonalUp="1">
        <left style="medium">
          <color auto="1"/>
        </left>
        <top/>
        <bottom/>
        <diagonal style="medium">
          <color auto="1"/>
        </diagonal>
        <vertical style="thin">
          <color theme="3" tint="0.24994659260841701"/>
        </vertical>
        <horizontal style="medium">
          <color auto="1"/>
        </horizontal>
      </border>
    </dxf>
    <dxf>
      <border>
        <bottom style="medium">
          <color auto="1"/>
        </bottom>
      </border>
    </dxf>
    <dxf>
      <fill>
        <patternFill>
          <bgColor theme="5" tint="0.7999816888943144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horizontal style="medium">
          <color auto="1"/>
        </horizontal>
      </border>
    </dxf>
    <dxf>
      <border diagonalUp="1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diagonal style="thick">
          <color theme="1"/>
        </diagonal>
        <vertical/>
        <horizontal/>
      </border>
    </dxf>
  </dxfs>
  <tableStyles count="1" defaultTableStyle="TableStyleMedium2" defaultPivotStyle="PivotStyleLight16">
    <tableStyle name="Style de tableau 1" pivot="0" count="8" xr9:uid="{95B9B8D4-970F-46CE-8129-4A923037E065}">
      <tableStyleElement type="wholeTable" dxfId="39"/>
      <tableStyleElement type="headerRow" dxfId="38"/>
      <tableStyleElement type="totalRow" dxfId="37"/>
      <tableStyleElement type="firstRowStripe" dxfId="36"/>
      <tableStyleElement type="secondRowStripe" dxfId="35"/>
      <tableStyleElement type="firstColumnStripe" dxfId="34"/>
      <tableStyleElement type="firstHeaderCell" dxfId="33"/>
      <tableStyleElement type="lastTotalCell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fournisseurs+d%27Acc%C3%A8s+%C3%A0+Internet+candidature+spontan%C3%A9e&amp;sca_esv=a63806a710cbffd6&amp;biw=2048&amp;bih=1044&amp;ei=7ngsaZySApKZkdUPy-TCmQc&amp;start=120&amp;sa=N&amp;ved=2ahUKEwicwfjBrZqRAxWSTKQEHUuyMHM4bhDy0wN6BAgJEA8" TargetMode="External"/><Relationship Id="rId2" Type="http://schemas.openxmlformats.org/officeDocument/2006/relationships/hyperlink" Target="https://www.google.com/search?q=esn+candidature+spontan%C3%A9e&amp;sca_esv=7cb5a2c0938f91b5&amp;biw=2048&amp;bih=1044&amp;ei=sSYqaabvF4eIkdUP0NCt-QQ&amp;start=140&amp;sa=N&amp;ved=2ahUKEwjmi6Hn9pWRAxUHRKQEHVBoK084ggEQ8tMDegQICRAP" TargetMode="External"/><Relationship Id="rId1" Type="http://schemas.openxmlformats.org/officeDocument/2006/relationships/hyperlink" Target="https://www.google.com/search?q=entreprise+telecom+spontan%C3%A9e&amp;sca_esv=a4306da362cb3c28&amp;biw=2048&amp;bih=1044&amp;ei=ZEIuaY2DD-WwkdUPv9_hgAQ&amp;start=160&amp;sa=N&amp;ved=2ahUKEwiNxbjk4Z2RAxVlWKQEHb9vGEA4lgEQ8tMDegQICRAP" TargetMode="External"/><Relationship Id="rId4" Type="http://schemas.openxmlformats.org/officeDocument/2006/relationships/hyperlink" Target="https://www.google.com/search?q=Mairie+Yvelins+candidature+spontan%C3%A9e&amp;sca_esv=3667fffe2cbb1e60&amp;biw=2048&amp;bih=1044&amp;ei=1IosabnUEZ6fkdUPoYjS0QI&amp;start=30&amp;sa=N&amp;sstk=Af77f_e5yicelpXdaah5P-EeaslyDUCmB85lCleF9wHpFGiBlln5ls8fEANXJMcv_qHrmiwbw97n1yVgz3HiD_DBt6EdCUAke3G6JVH_ap0ZVhFORMcAo4sbGteT7IXlAbyU0nq-cY1a3Z0lAp0n3ofAvca1hHc3pyM&amp;ved=2ahUKEwi5jvfKvpqRAxWeT6QEHSGENCo4FBDy0wN6BAgJEA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714375</xdr:colOff>
      <xdr:row>1</xdr:row>
      <xdr:rowOff>180974</xdr:rowOff>
    </xdr:from>
    <xdr:to>
      <xdr:col>13</xdr:col>
      <xdr:colOff>152400</xdr:colOff>
      <xdr:row>24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E0CBA9E-88B8-4CBE-B25E-E09BA89FCC58}"/>
            </a:ext>
          </a:extLst>
        </xdr:cNvPr>
        <xdr:cNvSpPr/>
      </xdr:nvSpPr>
      <xdr:spPr>
        <a:xfrm>
          <a:off x="7181850" y="371474"/>
          <a:ext cx="4772025" cy="4362451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Madame, Monsieur,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Je m'appelle REI Rafael et suis actuellement en recherche d’un contrat d'apprentissage pour ma licence PRO Métiers des Réseaux Informatiques et Télécommunications. Je suis étudiant à l’Université Paris-Saclay.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Je me permets de vous contacter pour savoir si vous pouvez prendre des alternants en informatique.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J'ai récemment obtenu un BTS Système Numérique Informatique et Réseau en alternance chez Orange en tant qu’Expert et Assistance National Home. 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 cours de mon alternance, je devais résoudre en autonomie les litiges clients avec des outils de supervision et de la gestion du parc informatique.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Je vous prie de retrouver ci-joint mon CV.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Je suis disponible pour un entretien afin d'échanger sur la manière dont mon projet d'alternance peut s'aligner avec vos besoins.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Cordialement,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REI Rafael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06.83.38.52.10</a:t>
          </a:r>
        </a:p>
        <a:p>
          <a:pPr algn="l"/>
          <a:endParaRPr lang="fr-FR" sz="1100"/>
        </a:p>
      </xdr:txBody>
    </xdr:sp>
    <xdr:clientData/>
  </xdr:twoCellAnchor>
  <xdr:twoCellAnchor>
    <xdr:from>
      <xdr:col>7</xdr:col>
      <xdr:colOff>295274</xdr:colOff>
      <xdr:row>26</xdr:row>
      <xdr:rowOff>123825</xdr:rowOff>
    </xdr:from>
    <xdr:to>
      <xdr:col>9</xdr:col>
      <xdr:colOff>542925</xdr:colOff>
      <xdr:row>28</xdr:row>
      <xdr:rowOff>38100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DF28CB-CF07-458D-B966-EDF70BDC6C2F}"/>
            </a:ext>
          </a:extLst>
        </xdr:cNvPr>
        <xdr:cNvSpPr/>
      </xdr:nvSpPr>
      <xdr:spPr>
        <a:xfrm>
          <a:off x="6438899" y="5076825"/>
          <a:ext cx="1771651" cy="29527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Entreprise Télécom -Page 17 </a:t>
          </a:r>
        </a:p>
      </xdr:txBody>
    </xdr:sp>
    <xdr:clientData/>
  </xdr:twoCellAnchor>
  <xdr:twoCellAnchor>
    <xdr:from>
      <xdr:col>10</xdr:col>
      <xdr:colOff>190500</xdr:colOff>
      <xdr:row>26</xdr:row>
      <xdr:rowOff>133350</xdr:rowOff>
    </xdr:from>
    <xdr:to>
      <xdr:col>12</xdr:col>
      <xdr:colOff>438151</xdr:colOff>
      <xdr:row>28</xdr:row>
      <xdr:rowOff>47625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33F23A-69CF-4777-8BA3-D5A5FE214A1A}"/>
            </a:ext>
          </a:extLst>
        </xdr:cNvPr>
        <xdr:cNvSpPr/>
      </xdr:nvSpPr>
      <xdr:spPr>
        <a:xfrm>
          <a:off x="10182225" y="5086350"/>
          <a:ext cx="1771651" cy="29527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Entreprise ESN - Page 15 </a:t>
          </a:r>
        </a:p>
      </xdr:txBody>
    </xdr:sp>
    <xdr:clientData/>
  </xdr:twoCellAnchor>
  <xdr:twoCellAnchor>
    <xdr:from>
      <xdr:col>7</xdr:col>
      <xdr:colOff>295275</xdr:colOff>
      <xdr:row>29</xdr:row>
      <xdr:rowOff>142875</xdr:rowOff>
    </xdr:from>
    <xdr:to>
      <xdr:col>9</xdr:col>
      <xdr:colOff>542926</xdr:colOff>
      <xdr:row>31</xdr:row>
      <xdr:rowOff>57150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326B24-05AF-0F4D-248F-5908A76E9152}"/>
            </a:ext>
          </a:extLst>
        </xdr:cNvPr>
        <xdr:cNvSpPr/>
      </xdr:nvSpPr>
      <xdr:spPr>
        <a:xfrm>
          <a:off x="8001000" y="5667375"/>
          <a:ext cx="1771651" cy="29527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FAI - Page 13</a:t>
          </a:r>
        </a:p>
      </xdr:txBody>
    </xdr:sp>
    <xdr:clientData/>
  </xdr:twoCellAnchor>
  <xdr:twoCellAnchor>
    <xdr:from>
      <xdr:col>10</xdr:col>
      <xdr:colOff>247650</xdr:colOff>
      <xdr:row>29</xdr:row>
      <xdr:rowOff>161925</xdr:rowOff>
    </xdr:from>
    <xdr:to>
      <xdr:col>12</xdr:col>
      <xdr:colOff>495301</xdr:colOff>
      <xdr:row>31</xdr:row>
      <xdr:rowOff>76200</xdr:rowOff>
    </xdr:to>
    <xdr:sp macro="" textlink="">
      <xdr:nvSpPr>
        <xdr:cNvPr id="7" name="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9921C4-E200-4FDA-90D8-35C0D16B16A5}"/>
            </a:ext>
          </a:extLst>
        </xdr:cNvPr>
        <xdr:cNvSpPr/>
      </xdr:nvSpPr>
      <xdr:spPr>
        <a:xfrm>
          <a:off x="10239375" y="5686425"/>
          <a:ext cx="1771651" cy="29527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Mairie - Page 4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D18479-DB77-494E-900D-73F90E203D09}" name="Tableau15" displayName="Tableau15" ref="A1:F193" totalsRowShown="0">
  <autoFilter ref="A1:F193" xr:uid="{64D18479-DB77-494E-900D-73F90E203D09}"/>
  <tableColumns count="6">
    <tableColumn id="1" xr3:uid="{E9C10C78-7E70-4DEB-8DAB-0CA99E684624}" name="Date"/>
    <tableColumn id="7" xr3:uid="{5C89BF4C-2570-42EC-A643-28D346D8387E}" name="Type" dataDxfId="31"/>
    <tableColumn id="2" xr3:uid="{025802D7-D503-4E3A-BDBB-CFE42E76BBB4}" name="Nom d'entreprise"/>
    <tableColumn id="3" xr3:uid="{8931E54D-E9EF-447D-B614-E81FA8D45176}" name="Offre"/>
    <tableColumn id="4" xr3:uid="{D8A7DCC7-BBF8-4061-931E-F0EF2EC6F3EF}" name="Retour"/>
    <tableColumn id="5" xr3:uid="{05099645-97CB-444F-BE12-38A4BE7FD071}" name="Information" dataDxfId="30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A3BEBFA-B903-4C38-8E7A-0855BFBFEEA9}" name="Tableau289" displayName="Tableau289" ref="P1:S12" totalsRowShown="0" headerRowDxfId="29" dataDxfId="28">
  <autoFilter ref="P1:S12" xr:uid="{5A3BEBFA-B903-4C38-8E7A-0855BFBFEEA9}"/>
  <tableColumns count="4">
    <tableColumn id="1" xr3:uid="{BC21372F-E444-43D4-A226-339A4CB1362D}" name="Date" dataDxfId="27"/>
    <tableColumn id="2" xr3:uid="{B2048169-EFE9-4511-B7CF-10C869502F1E}" name="Nom hopital" dataDxfId="26"/>
    <tableColumn id="3" xr3:uid="{94F36C9B-CEFD-47B1-B9F8-EBDB2651D272}" name="Style" dataDxfId="25"/>
    <tableColumn id="4" xr3:uid="{46906399-E805-40F6-9F1D-830557A8E865}" name="Status" dataDxfId="24"/>
  </tableColumns>
  <tableStyleInfo name="Style de tableau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227D2-77EC-4508-BD57-DAF433E01060}" name="Tableau2" displayName="Tableau2" ref="I36:L40" totalsRowShown="0" headerRowDxfId="23" dataDxfId="22">
  <autoFilter ref="I36:L40" xr:uid="{431227D2-77EC-4508-BD57-DAF433E01060}"/>
  <tableColumns count="4">
    <tableColumn id="1" xr3:uid="{295E0908-1B89-4770-95A6-467C486B4CF3}" name="Colonne1" dataDxfId="21"/>
    <tableColumn id="2" xr3:uid="{76846E8E-6BB4-4F15-A27F-1FF92BC787D4}" name="Colonne2" dataDxfId="20">
      <calculatedColumnFormula>COUNTIF(E1:E406, "*Appel reçu*")</calculatedColumnFormula>
    </tableColumn>
    <tableColumn id="5" xr3:uid="{82E64510-D6F3-43EA-8BF5-95F1E1885C73}" name="Colonne3" dataDxfId="19"/>
    <tableColumn id="6" xr3:uid="{12B1E7A2-F59B-4268-B8B4-7F90E265B9E6}" name="Colonne4" dataDxfId="18">
      <calculatedColumnFormula>COUNTIF(B1:B406, "*ESN*")</calculatedColumnFormula>
    </tableColumn>
  </tableColumns>
  <tableStyleInfo name="Style de tableau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D8CE3C-D927-48DD-86BA-29B952A81CB3}" name="Tableau5" displayName="Tableau5" ref="A1:E187" totalsRowShown="0">
  <autoFilter ref="A1:E187" xr:uid="{CBD8CE3C-D927-48DD-86BA-29B952A81CB3}"/>
  <tableColumns count="5">
    <tableColumn id="1" xr3:uid="{45F6537D-744B-41DC-AA54-2C1EC06C3070}" name="Nom d'entreprise" dataDxfId="17">
      <calculatedColumnFormula>Candidature!C2</calculatedColumnFormula>
    </tableColumn>
    <tableColumn id="2" xr3:uid="{D3C5E84D-28FD-4E69-8566-BCED6D67F376}" name="Adresse mail" dataDxfId="16"/>
    <tableColumn id="3" xr3:uid="{FDE8395D-00D3-4D1B-BEF0-57D822D6822A}" name="Numéro de téléphone" dataDxfId="15"/>
    <tableColumn id="4" xr3:uid="{AE31C5C8-26A9-41C3-9471-AF9A3E28B283}" name="Offre" dataDxfId="14"/>
    <tableColumn id="5" xr3:uid="{910D0448-E2E1-486E-B81A-4DEA1CC43D88}" name="Colonne1" dataDxfId="13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kactivressources.fr/candidature-spontanee/" TargetMode="External"/><Relationship Id="rId21" Type="http://schemas.openxmlformats.org/officeDocument/2006/relationships/hyperlink" Target="https://www.pass.fonction-publique.gouv.fr/offre/apprenti-administrateur-systeme-et-reseaux-fh?utm_source=hellowork&amp;utm_medium=jobboard&amp;utm_campaign=hellowork" TargetMode="External"/><Relationship Id="rId42" Type="http://schemas.openxmlformats.org/officeDocument/2006/relationships/hyperlink" Target="https://asitix.fr/rejoindre/candidature-spontanee/" TargetMode="External"/><Relationship Id="rId63" Type="http://schemas.openxmlformats.org/officeDocument/2006/relationships/hyperlink" Target="https://www.w3plus.fr/rejoignez-nous/" TargetMode="External"/><Relationship Id="rId84" Type="http://schemas.openxmlformats.org/officeDocument/2006/relationships/hyperlink" Target="https://www.ville-plaisir.fr/information-transversale/emploi/candidature-spontanee" TargetMode="External"/><Relationship Id="rId138" Type="http://schemas.openxmlformats.org/officeDocument/2006/relationships/hyperlink" Target="https://www.udapei59.org/nous-rejoindre/candidature-spontanee/" TargetMode="External"/><Relationship Id="rId159" Type="http://schemas.openxmlformats.org/officeDocument/2006/relationships/hyperlink" Target="https://jobs.abylsen.com/apply?_gl=1*458rd9*_ga*MTcwNjkyOTAzOC4xNzYxMDc4OTAw*_ga_4WDD1B5PM8*czE3NjQ2Mzc5MzQkbzIkZzAkdDE3NjQ2Mzc5MzgkajU2JGwwJGgw" TargetMode="External"/><Relationship Id="rId170" Type="http://schemas.openxmlformats.org/officeDocument/2006/relationships/drawing" Target="../drawings/drawing1.xml"/><Relationship Id="rId107" Type="http://schemas.openxmlformats.org/officeDocument/2006/relationships/hyperlink" Target="https://www.atif.fr/candidature-spontanee/" TargetMode="External"/><Relationship Id="rId11" Type="http://schemas.openxmlformats.org/officeDocument/2006/relationships/hyperlink" Target="https://www.extremit.fr/nous-rejoindre/" TargetMode="External"/><Relationship Id="rId32" Type="http://schemas.openxmlformats.org/officeDocument/2006/relationships/hyperlink" Target="https://hopital-americain.nous-recrutons.fr/candidature-spontanee/" TargetMode="External"/><Relationship Id="rId53" Type="http://schemas.openxmlformats.org/officeDocument/2006/relationships/hyperlink" Target="https://www.izencia.com/recrutement-technicien-support-informatique/" TargetMode="External"/><Relationship Id="rId74" Type="http://schemas.openxmlformats.org/officeDocument/2006/relationships/hyperlink" Target="https://www.blue-search.com/candidature-spontanee/" TargetMode="External"/><Relationship Id="rId128" Type="http://schemas.openxmlformats.org/officeDocument/2006/relationships/hyperlink" Target="https://jobs.clauger.com/candidature-spontanee/" TargetMode="External"/><Relationship Id="rId149" Type="http://schemas.openxmlformats.org/officeDocument/2006/relationships/hyperlink" Target="https://www.emploi-collectivites.fr/mairie-maisons-laffitte-recrute-blog-territorial" TargetMode="External"/><Relationship Id="rId5" Type="http://schemas.openxmlformats.org/officeDocument/2006/relationships/hyperlink" Target="https://www.k-tns.com/candidature-spontanee/" TargetMode="External"/><Relationship Id="rId95" Type="http://schemas.openxmlformats.org/officeDocument/2006/relationships/hyperlink" Target="https://carrieres-axionefrance.icims.com/jobs/intro?hashed=-625911943&amp;mobile=false&amp;width=1263&amp;height=500&amp;bga=true&amp;needsRedirect=false&amp;jan1offset=60&amp;jun1offset=120" TargetMode="External"/><Relationship Id="rId160" Type="http://schemas.openxmlformats.org/officeDocument/2006/relationships/hyperlink" Target="https://www.gt-cornouaille.fr/candidature-spontanee/" TargetMode="External"/><Relationship Id="rId22" Type="http://schemas.openxmlformats.org/officeDocument/2006/relationships/hyperlink" Target="https://www.linkedin.com/company/informatique-cdc/posts/?feedView=all" TargetMode="External"/><Relationship Id="rId43" Type="http://schemas.openxmlformats.org/officeDocument/2006/relationships/hyperlink" Target="https://ceoris.fr/candidature-spontanee/" TargetMode="External"/><Relationship Id="rId64" Type="http://schemas.openxmlformats.org/officeDocument/2006/relationships/hyperlink" Target="https://proelan.com/" TargetMode="External"/><Relationship Id="rId118" Type="http://schemas.openxmlformats.org/officeDocument/2006/relationships/hyperlink" Target="https://www.idal-groupe.com/jobs/candidature-spontannee/" TargetMode="External"/><Relationship Id="rId139" Type="http://schemas.openxmlformats.org/officeDocument/2006/relationships/hyperlink" Target="https://www.midietdemi.fr/recrutement/candidature-spontanee/" TargetMode="External"/><Relationship Id="rId85" Type="http://schemas.openxmlformats.org/officeDocument/2006/relationships/hyperlink" Target="https://labonnealternance.apprentissage.beta.gouv.fr/emploi/offres_emploi_lba/69270b2d2166a5a23a722922/administration-de-syst%C3%A8mes-et-r%C3%A9seaux-informatiques-et-telecom?romes=I1104%2CI1307%2CM1801%2CM1802%2CM1803%2CM1804%2CM1807%2CM1810%2CM1812%2CM1816%2CM1817%2CM1819%2CM1822%2CM1826%2CM1829%2CM1830%2CM1835%2CM1838%2CM1839%2CM1843%2CM1847%2CM1849%2CM1854%2CM1857%2CM1860&amp;radius=30&amp;job_name=Administration+de+syst%C3%A8mes+et+r%C3%A9seaux+informatiques+et+telecom&amp;activeItems=matcha%253A69270b2d2166a5a23a722922&amp;displayFormations=false&amp;displayPartenariats=false" TargetMode="External"/><Relationship Id="rId150" Type="http://schemas.openxmlformats.org/officeDocument/2006/relationships/hyperlink" Target="https://www.carrieres-sous-poissy.fr/offres-emploi-mairie" TargetMode="External"/><Relationship Id="rId171" Type="http://schemas.openxmlformats.org/officeDocument/2006/relationships/table" Target="../tables/table1.xml"/><Relationship Id="rId12" Type="http://schemas.openxmlformats.org/officeDocument/2006/relationships/hyperlink" Target="https://www.rte-france.com/carrieres/recrutement" TargetMode="External"/><Relationship Id="rId33" Type="http://schemas.openxmlformats.org/officeDocument/2006/relationships/hyperlink" Target="https://www.open-france.com/fr/carrieres-fr/" TargetMode="External"/><Relationship Id="rId108" Type="http://schemas.openxmlformats.org/officeDocument/2006/relationships/hyperlink" Target="https://www.lafibrenumerique5962.fr/offres-emplois/" TargetMode="External"/><Relationship Id="rId129" Type="http://schemas.openxmlformats.org/officeDocument/2006/relationships/hyperlink" Target="https://talents.baryton-solutions.com/candidature-spontanee/" TargetMode="External"/><Relationship Id="rId54" Type="http://schemas.openxmlformats.org/officeDocument/2006/relationships/hyperlink" Target="https://www.iocean.fr/recrutement" TargetMode="External"/><Relationship Id="rId75" Type="http://schemas.openxmlformats.org/officeDocument/2006/relationships/hyperlink" Target="https://www.cegi.fr/offres-demplois/candidature-spontanee/" TargetMode="External"/><Relationship Id="rId96" Type="http://schemas.openxmlformats.org/officeDocument/2006/relationships/hyperlink" Target="https://www.finaxygroup.com/candidature-spontannee/" TargetMode="External"/><Relationship Id="rId140" Type="http://schemas.openxmlformats.org/officeDocument/2006/relationships/hyperlink" Target="https://bagpro.fr/carreer/candidature-spontanee/" TargetMode="External"/><Relationship Id="rId161" Type="http://schemas.openxmlformats.org/officeDocument/2006/relationships/hyperlink" Target="https://www.transatel.com/fr/nous-rejoindre/candidature-spontanee/" TargetMode="External"/><Relationship Id="rId1" Type="http://schemas.openxmlformats.org/officeDocument/2006/relationships/hyperlink" Target="https://mytelecom-entreprises.fr/candidature-spontanee/" TargetMode="External"/><Relationship Id="rId6" Type="http://schemas.openxmlformats.org/officeDocument/2006/relationships/hyperlink" Target="https://www.tdf.fr/nous-rejoindre/" TargetMode="External"/><Relationship Id="rId23" Type="http://schemas.openxmlformats.org/officeDocument/2006/relationships/hyperlink" Target="https://www.linkedin.com/jobs/view/4347043748/?alternateChannel=search&amp;eBP=CwEAAAGavE1n5cxltr6dg2UUbRZoxWtuYf4ZszdLTTfbtwsbkd3FRF_50ch2EXMXv7vXbj9J60IY6qWnkP7NEswD1QW40lR7bPRCwHO9tAPyLdeThzaYnLeA1B7Wwjr1myTzXMuh2PDc2ghxpeNQcRSeZ-6TMK9i0o8zOaYC54hdVFaROvL4ttl3HMWdjmGyKubXFYzZswGfW5X8JTAO7eqc_vyExLzNU9Yg42yfhvj_F0B_GL5X6Y0wqGat0VyR57jxyVmv-25IihhhMs60ktOWj7fgue3DZr6C3g4MafH_xAl0G9YT43CDFMnAj64Ur7PEzMZGSlK0vVNClUQlVOxnZgP-zomwtXTprSnj5GmKoOCtVgpwT8E4t8j8W4J2iuyhsH_dDoEIiNCYwwFlEXndMYKdGwx4ChYXy-TLPqu3lgBaUA&amp;refId=J9soHv4jEZiM51FMHZrtBw%3D%3D&amp;trackingId=uzYgwwctYTLkDEPwOtYJlg%3D%3D&amp;trk=d_flagship3_search_srp_jobs" TargetMode="External"/><Relationship Id="rId28" Type="http://schemas.openxmlformats.org/officeDocument/2006/relationships/hyperlink" Target="mailto:recrutement_SII-IDF@sii.fr" TargetMode="External"/><Relationship Id="rId49" Type="http://schemas.openxmlformats.org/officeDocument/2006/relationships/hyperlink" Target="https://fr.indeed.com/rc/clk?jk=33830c563a2abdd1&amp;bb=oHHkFmnJzSSyhko2xGV0afPlnsfAVPzFG9nv1MIrjxQyII-YfvmIl3g1qdLN-SLlsriJN9nJbCZH5bZK4TKB99Ilrf24Kr8c2XmmW8rJvTDNyGNvEayH-Wu9eswBACk57GVbLZe_CDRwszWp-K29Lw%3D%3D&amp;xkcb=SoBU67M3qhe5DZ2OIx0DbzkdCdPP&amp;fccid=e6e13ab86f0bb7d7&amp;cmp=L%2527Atelier-du-Mac&amp;ti=Technicien+En+Informatique&amp;vjs=3" TargetMode="External"/><Relationship Id="rId114" Type="http://schemas.openxmlformats.org/officeDocument/2006/relationships/hyperlink" Target="https://www.sictiam.fr/recrutement/" TargetMode="External"/><Relationship Id="rId119" Type="http://schemas.openxmlformats.org/officeDocument/2006/relationships/hyperlink" Target="https://aeos.fr/offres-demploi-candidature-spontanee/" TargetMode="External"/><Relationship Id="rId44" Type="http://schemas.openxmlformats.org/officeDocument/2006/relationships/hyperlink" Target="https://anaya.fr/recrutement/" TargetMode="External"/><Relationship Id="rId60" Type="http://schemas.openxmlformats.org/officeDocument/2006/relationships/hyperlink" Target="https://www.proxiteam.fr/candidature-spontanee/" TargetMode="External"/><Relationship Id="rId65" Type="http://schemas.openxmlformats.org/officeDocument/2006/relationships/hyperlink" Target="https://www.selfing.fr/carrieres/candidature-spontanee/?success=1" TargetMode="External"/><Relationship Id="rId81" Type="http://schemas.openxmlformats.org/officeDocument/2006/relationships/hyperlink" Target="https://www.activus-software.fr/candidature/" TargetMode="External"/><Relationship Id="rId86" Type="http://schemas.openxmlformats.org/officeDocument/2006/relationships/hyperlink" Target="https://labonnealternance.apprentissage.beta.gouv.fr/emploi/offres_emploi_partenaires/684df107acaeefb3a1af0bf6/administration-de-syst%C3%A8mes-et-r%C3%A9seaux-informatiques-et-telecom?romes=I1104%2CI1307%2CM1801%2CM1802%2CM1803%2CM1804%2CM1807%2CM1810%2CM1812%2CM1816%2CM1817%2CM1819%2CM1822%2CM1826%2CM1829%2CM1830%2CM1835%2CM1838%2CM1839%2CM1843%2CM1847%2CM1849%2CM1854%2CM1857%2CM1860&amp;radius=30&amp;job_name=Administration+de+syst%C3%A8mes+et+r%C3%A9seaux+informatiques+et+telecom&amp;activeItems=partnerJob%253A684df107acaeefb3a1af0bf6&amp;displayFormations=false" TargetMode="External"/><Relationship Id="rId130" Type="http://schemas.openxmlformats.org/officeDocument/2006/relationships/hyperlink" Target="https://www.combeconsulting.fr/candidature-spontanee/" TargetMode="External"/><Relationship Id="rId135" Type="http://schemas.openxmlformats.org/officeDocument/2006/relationships/hyperlink" Target="https://jobs.seenovate.com/jobs/candidature-spontanee/" TargetMode="External"/><Relationship Id="rId151" Type="http://schemas.openxmlformats.org/officeDocument/2006/relationships/hyperlink" Target="https://leperray.fr/recrutement/" TargetMode="External"/><Relationship Id="rId156" Type="http://schemas.openxmlformats.org/officeDocument/2006/relationships/hyperlink" Target="velizy-villacoublay.fr/en/candidature" TargetMode="External"/><Relationship Id="rId172" Type="http://schemas.openxmlformats.org/officeDocument/2006/relationships/table" Target="../tables/table2.xml"/><Relationship Id="rId13" Type="http://schemas.openxmlformats.org/officeDocument/2006/relationships/hyperlink" Target="https://www.hellowork.com/fr-fr/emplois/72533215.html" TargetMode="External"/><Relationship Id="rId18" Type="http://schemas.openxmlformats.org/officeDocument/2006/relationships/hyperlink" Target="https://www.hellowork.com/fr-fr/emplois/71819521.html" TargetMode="External"/><Relationship Id="rId39" Type="http://schemas.openxmlformats.org/officeDocument/2006/relationships/hyperlink" Target="https://citech.fr/carrieres/" TargetMode="External"/><Relationship Id="rId109" Type="http://schemas.openxmlformats.org/officeDocument/2006/relationships/hyperlink" Target="https://www.lelorec.fr/nous-rejoindre/candidature-spontanee/" TargetMode="External"/><Relationship Id="rId34" Type="http://schemas.openxmlformats.org/officeDocument/2006/relationships/hyperlink" Target="https://www.stelogy.com/contact-remerciement/" TargetMode="External"/><Relationship Id="rId50" Type="http://schemas.openxmlformats.org/officeDocument/2006/relationships/hyperlink" Target="https://fr.indeed.com/rc/clk?jk=87902439033639e9&amp;bb=oHHkFmnJzSSyhko2xGV0ac4xUhTZeBCXjVNguiVkWa6QlUrg4ShAtCeSFF1U7rC4aLotF4PazsGtUVs3kvHBUSYhmS4VrQkR0rjQAaiLJxXVT90eavETuqXgay9L0ag4bNPFm0zvrDKHO11DI5esfQ%3D%3D&amp;xkcb=SoDg67M3qhe5DZ2OIx0CbzkdCdPP&amp;fccid=379df7b834d7f2ff&amp;cmp=Nextin-Com&amp;ti=Technicien+En+T%C3%A9l%C3%A9communications&amp;vjs=3" TargetMode="External"/><Relationship Id="rId55" Type="http://schemas.openxmlformats.org/officeDocument/2006/relationships/hyperlink" Target="https://www.linkedin.com/messaging/thread/2-MGZjMDhmODMtN2MzMy00YWJmLTlkNzctNDA4ZjlkYTQyMWI2XzEwMA==/" TargetMode="External"/><Relationship Id="rId76" Type="http://schemas.openxmlformats.org/officeDocument/2006/relationships/hyperlink" Target="https://www.okuden.fr/nous-rejoindre/candidature-spontanee/" TargetMode="External"/><Relationship Id="rId97" Type="http://schemas.openxmlformats.org/officeDocument/2006/relationships/hyperlink" Target="https://www.axeinfo.fr/rejoignez-nous/postuler/?" TargetMode="External"/><Relationship Id="rId104" Type="http://schemas.openxmlformats.org/officeDocument/2006/relationships/hyperlink" Target="https://www.synovo-group.com/nous-rejoindre/" TargetMode="External"/><Relationship Id="rId120" Type="http://schemas.openxmlformats.org/officeDocument/2006/relationships/hyperlink" Target="https://hydrogain.fr/candidature-spontanee/" TargetMode="External"/><Relationship Id="rId125" Type="http://schemas.openxmlformats.org/officeDocument/2006/relationships/hyperlink" Target="https://www.auranext.com/societe/recrutement/" TargetMode="External"/><Relationship Id="rId141" Type="http://schemas.openxmlformats.org/officeDocument/2006/relationships/hyperlink" Target="https://www.odyssee-environnement.fr/recrutement/candidature-spontanee/" TargetMode="External"/><Relationship Id="rId146" Type="http://schemas.openxmlformats.org/officeDocument/2006/relationships/hyperlink" Target="https://mairie-trappes.nous-recrutons.fr/candidature-spontanee/" TargetMode="External"/><Relationship Id="rId167" Type="http://schemas.openxmlformats.org/officeDocument/2006/relationships/hyperlink" Target="https://groupe-parera.com/offres-emploi/candidature-spontanee/" TargetMode="External"/><Relationship Id="rId7" Type="http://schemas.openxmlformats.org/officeDocument/2006/relationships/hyperlink" Target="https://monaco-telecom.mc/carrieres/" TargetMode="External"/><Relationship Id="rId71" Type="http://schemas.openxmlformats.org/officeDocument/2006/relationships/hyperlink" Target="https://www.stormshield.com/fr/nous-rejoindre/candidature-spontanee/" TargetMode="External"/><Relationship Id="rId92" Type="http://schemas.openxmlformats.org/officeDocument/2006/relationships/hyperlink" Target="https://www.snef.fr/carrieres/page_recrute_offres_send.php?lang=fr" TargetMode="External"/><Relationship Id="rId162" Type="http://schemas.openxmlformats.org/officeDocument/2006/relationships/hyperlink" Target="mailto:recrutements@vist-and.com" TargetMode="External"/><Relationship Id="rId2" Type="http://schemas.openxmlformats.org/officeDocument/2006/relationships/hyperlink" Target="https://vousfaciliter-it.fr/candidature-spontanee" TargetMode="External"/><Relationship Id="rId29" Type="http://schemas.openxmlformats.org/officeDocument/2006/relationships/hyperlink" Target="https://jobs.keyyo.com/" TargetMode="External"/><Relationship Id="rId24" Type="http://schemas.openxmlformats.org/officeDocument/2006/relationships/hyperlink" Target="https://www.linkedin.com/company/julbo/life" TargetMode="External"/><Relationship Id="rId40" Type="http://schemas.openxmlformats.org/officeDocument/2006/relationships/hyperlink" Target="https://tim-tek.com/candidature-spontanee/" TargetMode="External"/><Relationship Id="rId45" Type="http://schemas.openxmlformats.org/officeDocument/2006/relationships/hyperlink" Target="https://marseille.esnfrance.org/recrutement/" TargetMode="External"/><Relationship Id="rId66" Type="http://schemas.openxmlformats.org/officeDocument/2006/relationships/hyperlink" Target="https://www.eitaconsulting.fr/candidature-spontanee" TargetMode="External"/><Relationship Id="rId87" Type="http://schemas.openxmlformats.org/officeDocument/2006/relationships/hyperlink" Target="https://hexcel.wd5.myworkdayjobs.com/fr-FR/HexcelCareers/job/France---Dagneux/Alternant--Support-Informatique_R019078?utm_source=hellowork&amp;utm_medium=jobboard&amp;utm_campaign=hellowork" TargetMode="External"/><Relationship Id="rId110" Type="http://schemas.openxmlformats.org/officeDocument/2006/relationships/hyperlink" Target="https://www.aerospace-cluster.fr/emploi/candidature-spontanee/" TargetMode="External"/><Relationship Id="rId115" Type="http://schemas.openxmlformats.org/officeDocument/2006/relationships/hyperlink" Target="https://www.fcnet.fr/contact?poe=1" TargetMode="External"/><Relationship Id="rId131" Type="http://schemas.openxmlformats.org/officeDocument/2006/relationships/hyperlink" Target="https://www.alternative-recrutement.fr/candidature-spontanee/" TargetMode="External"/><Relationship Id="rId136" Type="http://schemas.openxmlformats.org/officeDocument/2006/relationships/hyperlink" Target="https://wifi.2isr.fr/a-propos/nous-rejoindre/" TargetMode="External"/><Relationship Id="rId157" Type="http://schemas.openxmlformats.org/officeDocument/2006/relationships/hyperlink" Target="https://careers.sagemcom.com/accueil.aspx?LCID=1036" TargetMode="External"/><Relationship Id="rId61" Type="http://schemas.openxmlformats.org/officeDocument/2006/relationships/hyperlink" Target="https://www.fenyx.fr/fr/candidature-spontanee.htm?trans=1" TargetMode="External"/><Relationship Id="rId82" Type="http://schemas.openxmlformats.org/officeDocument/2006/relationships/hyperlink" Target="https://www.ghtyvelinesnord.fr/recrutement/les-candidatures-spontanees/?etbt=chi-poissy-saint-germain-en-laye" TargetMode="External"/><Relationship Id="rId152" Type="http://schemas.openxmlformats.org/officeDocument/2006/relationships/hyperlink" Target="https://www.maurepas.fr/index.php/Candidature-spontan%C3%A9e?idpage=15681&amp;afficheMenuContextuel=" TargetMode="External"/><Relationship Id="rId173" Type="http://schemas.openxmlformats.org/officeDocument/2006/relationships/table" Target="../tables/table3.xml"/><Relationship Id="rId19" Type="http://schemas.openxmlformats.org/officeDocument/2006/relationships/hyperlink" Target="https://www.hellowork.com/fr-fr/emplois/71819521.html" TargetMode="External"/><Relationship Id="rId14" Type="http://schemas.openxmlformats.org/officeDocument/2006/relationships/hyperlink" Target="https://www.fichetgroup.com/fr-fr/nous-rejoindre" TargetMode="External"/><Relationship Id="rId30" Type="http://schemas.openxmlformats.org/officeDocument/2006/relationships/hyperlink" Target="https://www.laporteverte-univi.fr/nous-rejoindre/candidature-spontanee/" TargetMode="External"/><Relationship Id="rId35" Type="http://schemas.openxmlformats.org/officeDocument/2006/relationships/hyperlink" Target="https://fa-ewfm-saasfaprod1.fa.ocs.oraclecloud.com/hcmUI/CandidateExperience/fr/sites/klepierre/job/201/?mode=job-location" TargetMode="External"/><Relationship Id="rId56" Type="http://schemas.openxmlformats.org/officeDocument/2006/relationships/hyperlink" Target="https://www.skillsfirst.fr/candidature-spontanee" TargetMode="External"/><Relationship Id="rId77" Type="http://schemas.openxmlformats.org/officeDocument/2006/relationships/hyperlink" Target="https://occicom.fr/recrutement" TargetMode="External"/><Relationship Id="rId100" Type="http://schemas.openxmlformats.org/officeDocument/2006/relationships/hyperlink" Target="https://saml.jobs.fayat.com/candidature-spontanee/" TargetMode="External"/><Relationship Id="rId105" Type="http://schemas.openxmlformats.org/officeDocument/2006/relationships/hyperlink" Target="https://www.plateforme-i.fr/recrutement/" TargetMode="External"/><Relationship Id="rId126" Type="http://schemas.openxmlformats.org/officeDocument/2006/relationships/hyperlink" Target="https://recrutement.francemm.com/nous-rejoindre/" TargetMode="External"/><Relationship Id="rId147" Type="http://schemas.openxmlformats.org/officeDocument/2006/relationships/hyperlink" Target="https://www.coignieres.fr/ma-mairie/ma-ville-recrute/candidature-spontanee/" TargetMode="External"/><Relationship Id="rId168" Type="http://schemas.openxmlformats.org/officeDocument/2006/relationships/hyperlink" Target="https://careers.werecruit.io/fr/provectio/offres/candidature-spontanee-23efe1" TargetMode="External"/><Relationship Id="rId8" Type="http://schemas.openxmlformats.org/officeDocument/2006/relationships/hyperlink" Target="https://www.telelec.fr/on-recrute/" TargetMode="External"/><Relationship Id="rId51" Type="http://schemas.openxmlformats.org/officeDocument/2006/relationships/hyperlink" Target="https://fr.indeed.com/rc/clk?jk=d2800e123b461cde&amp;bb=oHHkFmnJzSSyhko2xGV0afRipYs5xZ5nNPPihZWI3xWVfEcIXP-WQRB96XA51Zn8EAtEEL_C5fRY8QV7EBXE9RxiHucPNnA7dD0_AbJn58CTbYhUfWh854snTfmPXtlS9Im0ohEGcbFOD9VAWTmmrw%3D%3D&amp;xkcb=SoB967M3qhe5DZ2OIx0BbzkdCdPP&amp;fccid=3206e6a64e5b7596&amp;vjs=3" TargetMode="External"/><Relationship Id="rId72" Type="http://schemas.openxmlformats.org/officeDocument/2006/relationships/hyperlink" Target="https://emploi.intertek-france.com/candidature-spontanee/" TargetMode="External"/><Relationship Id="rId93" Type="http://schemas.openxmlformats.org/officeDocument/2006/relationships/hyperlink" Target="https://www.nxo.eu/carrieres-nxo/offres-emploi/" TargetMode="External"/><Relationship Id="rId98" Type="http://schemas.openxmlformats.org/officeDocument/2006/relationships/hyperlink" Target="https://www.lumiere.fr/nous-rejoindre/" TargetMode="External"/><Relationship Id="rId121" Type="http://schemas.openxmlformats.org/officeDocument/2006/relationships/hyperlink" Target="https://www.fiveaday.fr/candidature-spontanee/" TargetMode="External"/><Relationship Id="rId142" Type="http://schemas.openxmlformats.org/officeDocument/2006/relationships/hyperlink" Target="https://www.habitat44.org/qui-sommes-nous/nous-rejoindre/candidature-spontanee/" TargetMode="External"/><Relationship Id="rId163" Type="http://schemas.openxmlformats.org/officeDocument/2006/relationships/hyperlink" Target="https://www.asinformatique-vannes.fr/magasin-informatique-vannes/" TargetMode="External"/><Relationship Id="rId3" Type="http://schemas.openxmlformats.org/officeDocument/2006/relationships/hyperlink" Target="https://rteam.fr/candidature-spontanee/" TargetMode="External"/><Relationship Id="rId25" Type="http://schemas.openxmlformats.org/officeDocument/2006/relationships/hyperlink" Target="https://www.extia-group.com/join-us/confirmation?donate=b39b21f9b30c605b75219b54c99e227e7aff54c7" TargetMode="External"/><Relationship Id="rId46" Type="http://schemas.openxmlformats.org/officeDocument/2006/relationships/hyperlink" Target="https://www.neurones.net/fr/candidature-spontanee" TargetMode="External"/><Relationship Id="rId67" Type="http://schemas.openxmlformats.org/officeDocument/2006/relationships/hyperlink" Target="https://nj4tech.nicoka.com/public/jobs/1733-907cb917ce126b4/apply" TargetMode="External"/><Relationship Id="rId116" Type="http://schemas.openxmlformats.org/officeDocument/2006/relationships/hyperlink" Target="https://1pact.com/candidature-spontanee/" TargetMode="External"/><Relationship Id="rId137" Type="http://schemas.openxmlformats.org/officeDocument/2006/relationships/hyperlink" Target="https://agisti.fr/espace-candidat/candidature-spontanee/" TargetMode="External"/><Relationship Id="rId158" Type="http://schemas.openxmlformats.org/officeDocument/2006/relationships/hyperlink" Target="https://www.groupesaph.com/contact-recrutement-candidature/" TargetMode="External"/><Relationship Id="rId20" Type="http://schemas.openxmlformats.org/officeDocument/2006/relationships/hyperlink" Target="https://www.pass.fonction-publique.gouv.fr/offre/apprenti-administrateur-systeme-et-reseaux-fh?utm_source=hellowork&amp;utm_medium=jobboard&amp;utm_campaign=hellowork" TargetMode="External"/><Relationship Id="rId41" Type="http://schemas.openxmlformats.org/officeDocument/2006/relationships/hyperlink" Target="https://mandarinesolutions.com/jobs/candidature-spontanee/" TargetMode="External"/><Relationship Id="rId62" Type="http://schemas.openxmlformats.org/officeDocument/2006/relationships/hyperlink" Target="https://www.capital-informatique.fr/candidature-spontanee/" TargetMode="External"/><Relationship Id="rId83" Type="http://schemas.openxmlformats.org/officeDocument/2006/relationships/hyperlink" Target="https://www.sartrouville.fr/postulez-a-une-offre-demploi/?email_offre=9iqz24kois5k@emploi.beetween.com" TargetMode="External"/><Relationship Id="rId88" Type="http://schemas.openxmlformats.org/officeDocument/2006/relationships/hyperlink" Target="https://www.atimic.fr/contact/" TargetMode="External"/><Relationship Id="rId111" Type="http://schemas.openxmlformats.org/officeDocument/2006/relationships/hyperlink" Target="https://rhpartners.recruitee.com/o/candidature-spontanee/c/new" TargetMode="External"/><Relationship Id="rId132" Type="http://schemas.openxmlformats.org/officeDocument/2006/relationships/hyperlink" Target="https://planete-plus.fr/candidature-spontanee-dans-les-energies-renouvelables/" TargetMode="External"/><Relationship Id="rId153" Type="http://schemas.openxmlformats.org/officeDocument/2006/relationships/hyperlink" Target="https://www.chevreuse.fr/fr/candidature-spontanee" TargetMode="External"/><Relationship Id="rId15" Type="http://schemas.openxmlformats.org/officeDocument/2006/relationships/hyperlink" Target="https://www.linkedin.com/messaging/thread/2-YTM3YjA0NTctNTM5Ni00YjJhLTg4M2YtYzY3OTBiYmNiOWZjXzEwMA==/" TargetMode="External"/><Relationship Id="rId36" Type="http://schemas.openxmlformats.org/officeDocument/2006/relationships/hyperlink" Target="https://infotem.fr/recrutement/remerciements/" TargetMode="External"/><Relationship Id="rId57" Type="http://schemas.openxmlformats.org/officeDocument/2006/relationships/hyperlink" Target="https://www.davidson.fr/demande-envoyee?origin=spontaneous&amp;form=offers&amp;role=candidate&amp;firstname=Rafael" TargetMode="External"/><Relationship Id="rId106" Type="http://schemas.openxmlformats.org/officeDocument/2006/relationships/hyperlink" Target="https://www.carriereskaak.fr/candidature-spontanee/" TargetMode="External"/><Relationship Id="rId127" Type="http://schemas.openxmlformats.org/officeDocument/2006/relationships/hyperlink" Target="https://www.harry-hope.com/fr/fr/candidature-spontanee/" TargetMode="External"/><Relationship Id="rId10" Type="http://schemas.openxmlformats.org/officeDocument/2006/relationships/hyperlink" Target="https://www.open.global/open/recrutez" TargetMode="External"/><Relationship Id="rId31" Type="http://schemas.openxmlformats.org/officeDocument/2006/relationships/hyperlink" Target="https://chrds.fr/professionnels/emploi-et-carrieres/candidature-spontanee/" TargetMode="External"/><Relationship Id="rId52" Type="http://schemas.openxmlformats.org/officeDocument/2006/relationships/hyperlink" Target="https://fr.indeed.com/rc/clk?jk=7a413391753df511&amp;bb=oHHkFmnJzSSyhko2xGV0aW2VaaTcGPJ9gQN-TTnMwq7epiOkm6vBdcV14IoZ19UnSmeOuY0VrO6zXcpaN1mCDiM3WpXrdEKsOVGuoAmRUq2hUpOnmpwpfR0VtZqcR8G2fAxrv-b6W7p0SihB5BLnkA%3D%3D&amp;xkcb=SoBu67M3qhe5DZ2OIx0FbzkdCdPP&amp;fccid=2c8957152c97233e&amp;cmp=COEXEL&amp;ti=Agent+Support+Logiciel&amp;vjs=3" TargetMode="External"/><Relationship Id="rId73" Type="http://schemas.openxmlformats.org/officeDocument/2006/relationships/hyperlink" Target="https://carrieres.digitalis.fr/fr/digitalis/offres/candidature-spontanee-e51f37" TargetMode="External"/><Relationship Id="rId78" Type="http://schemas.openxmlformats.org/officeDocument/2006/relationships/hyperlink" Target="https://serfimtic.com/candidature-spontanee/" TargetMode="External"/><Relationship Id="rId94" Type="http://schemas.openxmlformats.org/officeDocument/2006/relationships/hyperlink" Target="https://www.diakelys.fr/confirmation" TargetMode="External"/><Relationship Id="rId99" Type="http://schemas.openxmlformats.org/officeDocument/2006/relationships/hyperlink" Target="https://europ-net.com/candidature-spontanee/" TargetMode="External"/><Relationship Id="rId101" Type="http://schemas.openxmlformats.org/officeDocument/2006/relationships/hyperlink" Target="https://www.groupe-deret.fr/rejoindre-le-groupe/candidature-spontanee/" TargetMode="External"/><Relationship Id="rId122" Type="http://schemas.openxmlformats.org/officeDocument/2006/relationships/hyperlink" Target="https://www.atlantic-ingenierie.com/candidature-spontanee/" TargetMode="External"/><Relationship Id="rId143" Type="http://schemas.openxmlformats.org/officeDocument/2006/relationships/hyperlink" Target="https://www.sotrama.fr/recrutement-emploi-postulat-recherche-cdd-cdi/candidature-spontanee/" TargetMode="External"/><Relationship Id="rId148" Type="http://schemas.openxmlformats.org/officeDocument/2006/relationships/hyperlink" Target="https://www.sartrouville.fr/postulez-a-une-offre-demploi/?email_offre=wbnpl4chrv5k@emploi.beetween.com" TargetMode="External"/><Relationship Id="rId164" Type="http://schemas.openxmlformats.org/officeDocument/2006/relationships/hyperlink" Target="https://groupe-ceme.com/le-groupe-ceme-partenaire-de-bouygues-telecom-dans-le-deploiement-de-son-reseau-5g/" TargetMode="External"/><Relationship Id="rId169" Type="http://schemas.openxmlformats.org/officeDocument/2006/relationships/hyperlink" Target="https://eliosconseil.com/offres-emploi/" TargetMode="External"/><Relationship Id="rId4" Type="http://schemas.openxmlformats.org/officeDocument/2006/relationships/hyperlink" Target="https://alleo.fr/recrutement/" TargetMode="External"/><Relationship Id="rId9" Type="http://schemas.openxmlformats.org/officeDocument/2006/relationships/hyperlink" Target="https://www.freepro.com/carrieres/secteur/reseaux/" TargetMode="External"/><Relationship Id="rId26" Type="http://schemas.openxmlformats.org/officeDocument/2006/relationships/hyperlink" Target="mailto:alexandre.regis@vditelecom.fr" TargetMode="External"/><Relationship Id="rId47" Type="http://schemas.openxmlformats.org/officeDocument/2006/relationships/hyperlink" Target="https://www.elitis.com/index.php/page/applicants/bb/1/command/applyforjobfullqs/qsuid/0cbcea2f906d2e77bc4f7c0c1886f269" TargetMode="External"/><Relationship Id="rId68" Type="http://schemas.openxmlformats.org/officeDocument/2006/relationships/hyperlink" Target="https://atelian.fr/offres/candidature-spontanee-fh" TargetMode="External"/><Relationship Id="rId89" Type="http://schemas.openxmlformats.org/officeDocument/2006/relationships/hyperlink" Target="https://veryswing.com/recrutement" TargetMode="External"/><Relationship Id="rId112" Type="http://schemas.openxmlformats.org/officeDocument/2006/relationships/hyperlink" Target="https://staffu-recrutement.fr/contactez-consultez-postulez-envoyez-votre-cv/" TargetMode="External"/><Relationship Id="rId133" Type="http://schemas.openxmlformats.org/officeDocument/2006/relationships/hyperlink" Target="https://infojeunes.valdoise.fr/la-bonne-boite-la-plateforme-dediee-aux-candidatures-spontanees/" TargetMode="External"/><Relationship Id="rId154" Type="http://schemas.openxmlformats.org/officeDocument/2006/relationships/hyperlink" Target="https://saint-quentin-en-yvelines.nous-recrutons.fr/candidature-spontanee/" TargetMode="External"/><Relationship Id="rId16" Type="http://schemas.openxmlformats.org/officeDocument/2006/relationships/hyperlink" Target="https://www.evidensee.com/profil/recrutement" TargetMode="External"/><Relationship Id="rId37" Type="http://schemas.openxmlformats.org/officeDocument/2006/relationships/hyperlink" Target="https://www.objectware.fr/candidature-spontanee/" TargetMode="External"/><Relationship Id="rId58" Type="http://schemas.openxmlformats.org/officeDocument/2006/relationships/hyperlink" Target="https://elephanttechnologies.recruitee.com/o/candidature-spontanee/c/new" TargetMode="External"/><Relationship Id="rId79" Type="http://schemas.openxmlformats.org/officeDocument/2006/relationships/hyperlink" Target="https://www.sciendi.com/jobs/" TargetMode="External"/><Relationship Id="rId102" Type="http://schemas.openxmlformats.org/officeDocument/2006/relationships/hyperlink" Target="https://www.celink.fr/candidature-spontanee/" TargetMode="External"/><Relationship Id="rId123" Type="http://schemas.openxmlformats.org/officeDocument/2006/relationships/hyperlink" Target="https://www.nexacom.fr/recrutements/" TargetMode="External"/><Relationship Id="rId144" Type="http://schemas.openxmlformats.org/officeDocument/2006/relationships/hyperlink" Target="https://www.acs-it.fr/recrutement" TargetMode="External"/><Relationship Id="rId90" Type="http://schemas.openxmlformats.org/officeDocument/2006/relationships/hyperlink" Target="https://www.telecoms-entreprises.com/contact/" TargetMode="External"/><Relationship Id="rId165" Type="http://schemas.openxmlformats.org/officeDocument/2006/relationships/hyperlink" Target="https://www.groupe-pandora.com/carrieres/" TargetMode="External"/><Relationship Id="rId27" Type="http://schemas.openxmlformats.org/officeDocument/2006/relationships/hyperlink" Target="mailto:contact@alleo.fr" TargetMode="External"/><Relationship Id="rId48" Type="http://schemas.openxmlformats.org/officeDocument/2006/relationships/hyperlink" Target="https://infotel.com/candidature/" TargetMode="External"/><Relationship Id="rId69" Type="http://schemas.openxmlformats.org/officeDocument/2006/relationships/hyperlink" Target="https://robertdebre.aphp.fr/recrutement/candidature-spontanee/" TargetMode="External"/><Relationship Id="rId113" Type="http://schemas.openxmlformats.org/officeDocument/2006/relationships/hyperlink" Target="https://www.xpfibre.com/travaillerChezXpfibre" TargetMode="External"/><Relationship Id="rId134" Type="http://schemas.openxmlformats.org/officeDocument/2006/relationships/hyperlink" Target="Madame,%20Monsieur," TargetMode="External"/><Relationship Id="rId80" Type="http://schemas.openxmlformats.org/officeDocument/2006/relationships/hyperlink" Target="https://mgi-fr.com/candidature-spontanee-2/" TargetMode="External"/><Relationship Id="rId155" Type="http://schemas.openxmlformats.org/officeDocument/2006/relationships/hyperlink" Target="https://www.ville-poissy.fr/index.php/vivre-a-poissy/economie/emploi/offres-d-emploi.html?view=offre&amp;id=290&amp;jscheck=1" TargetMode="External"/><Relationship Id="rId17" Type="http://schemas.openxmlformats.org/officeDocument/2006/relationships/hyperlink" Target="https://www.hellowork.com/fr-fr/emplois/72863539.html" TargetMode="External"/><Relationship Id="rId38" Type="http://schemas.openxmlformats.org/officeDocument/2006/relationships/hyperlink" Target="https://www.smartpoint.fr/carrieres/envoyez-nous-votre-cv/" TargetMode="External"/><Relationship Id="rId59" Type="http://schemas.openxmlformats.org/officeDocument/2006/relationships/hyperlink" Target="https://leyton.com/fr/Emplois/candidature-spontanee/" TargetMode="External"/><Relationship Id="rId103" Type="http://schemas.openxmlformats.org/officeDocument/2006/relationships/hyperlink" Target="https://ecegroupe.fr/candidature-spontanee/" TargetMode="External"/><Relationship Id="rId124" Type="http://schemas.openxmlformats.org/officeDocument/2006/relationships/hyperlink" Target="https://tc-consulting-rh.fr/candidature-spontanee/" TargetMode="External"/><Relationship Id="rId70" Type="http://schemas.openxmlformats.org/officeDocument/2006/relationships/hyperlink" Target="https://www.aman-international.org/menu-aman/244/candidature-spontanee" TargetMode="External"/><Relationship Id="rId91" Type="http://schemas.openxmlformats.org/officeDocument/2006/relationships/hyperlink" Target="https://www.nge-recrute.fr/rejoins-nge/" TargetMode="External"/><Relationship Id="rId145" Type="http://schemas.openxmlformats.org/officeDocument/2006/relationships/hyperlink" Target="https://ville-houilles.nous-recrutons.fr/candidature-spontanee/" TargetMode="External"/><Relationship Id="rId166" Type="http://schemas.openxmlformats.org/officeDocument/2006/relationships/hyperlink" Target="https://carriere.itlinkgroupe.com/candidatur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ellowork.com/fr-fr/emplois/72863539.html" TargetMode="External"/><Relationship Id="rId13" Type="http://schemas.openxmlformats.org/officeDocument/2006/relationships/hyperlink" Target="mailto:contact@alleo.fr" TargetMode="External"/><Relationship Id="rId18" Type="http://schemas.openxmlformats.org/officeDocument/2006/relationships/hyperlink" Target="mailto:dpo@groupeks.com" TargetMode="External"/><Relationship Id="rId26" Type="http://schemas.openxmlformats.org/officeDocument/2006/relationships/hyperlink" Target="mailto:hr.fr@tp-link.com" TargetMode="External"/><Relationship Id="rId3" Type="http://schemas.openxmlformats.org/officeDocument/2006/relationships/hyperlink" Target="mailto:recrutement@monaco-telecom.mc" TargetMode="External"/><Relationship Id="rId21" Type="http://schemas.openxmlformats.org/officeDocument/2006/relationships/hyperlink" Target="mailto:contact@shape-it.io" TargetMode="External"/><Relationship Id="rId7" Type="http://schemas.openxmlformats.org/officeDocument/2006/relationships/hyperlink" Target="mailto:recrutement@fichetgroup.com" TargetMode="External"/><Relationship Id="rId12" Type="http://schemas.openxmlformats.org/officeDocument/2006/relationships/hyperlink" Target="mailto:alexandre.regis@vditelecom.fr" TargetMode="External"/><Relationship Id="rId17" Type="http://schemas.openxmlformats.org/officeDocument/2006/relationships/hyperlink" Target="mailto:recrutement@rhon-telecom.fr" TargetMode="External"/><Relationship Id="rId25" Type="http://schemas.openxmlformats.org/officeDocument/2006/relationships/hyperlink" Target="mailto:infos@telecoms-entreprises.com" TargetMode="External"/><Relationship Id="rId2" Type="http://schemas.openxmlformats.org/officeDocument/2006/relationships/hyperlink" Target="mailto:candidature@k-tns.com" TargetMode="External"/><Relationship Id="rId16" Type="http://schemas.openxmlformats.org/officeDocument/2006/relationships/hyperlink" Target="mailto:contact@tibco.fr" TargetMode="External"/><Relationship Id="rId20" Type="http://schemas.openxmlformats.org/officeDocument/2006/relationships/hyperlink" Target="mailto:rh@opteamis.com" TargetMode="External"/><Relationship Id="rId29" Type="http://schemas.openxmlformats.org/officeDocument/2006/relationships/table" Target="../tables/table4.xml"/><Relationship Id="rId1" Type="http://schemas.openxmlformats.org/officeDocument/2006/relationships/hyperlink" Target="mailto:contact@mytelecom-entreprises.fr" TargetMode="External"/><Relationship Id="rId6" Type="http://schemas.openxmlformats.org/officeDocument/2006/relationships/hyperlink" Target="mailto:recrutement@freepro.com" TargetMode="External"/><Relationship Id="rId11" Type="http://schemas.openxmlformats.org/officeDocument/2006/relationships/hyperlink" Target="https://www.linkedin.com/jobs/view/4336876955/?alternateChannel=search&amp;eBP=CwEAAAGavE1n5oJfdXwTmzkSiRFdgHqO8GHSwM44Fa_lT57jOR-IK2dUTgpj1SHDjbjTYl0TmjAzOs9Y40odEMImgEHYS3mJfVdy_m5FiYlP-reD7nr3lG_NnygFo04h8uIW6BjOFa6J43ZBJgNOq8tuLKlMjh61CZzeVxrT6peOF3HeBH41n4aRn-W8sLmp999z1CvhYzv-qsrAUnAbCavsKM0BEmt38FTQGFHgOBr5Pki_Mxy_qWv829waMBzwgqMmkzgmVWywSUeBrQqZYbYpYD7_I34Jj1_tu8dwBHyfh7rPxu1tuZ-dZKsBfmZEf8Oph76brtlosDY5eBzGoK55lvg9PSOh-sqMrqhtdw53Hv5rraH16qf9ZN0jKgloMubTKUjg-W5z9YhTVIF9UAe5M5RdVCf-kDB9qLXDfbtQlxv-FyRmswonLPB9bPLHCpq0MiMsBW_2D61bde4R5LL4xo2DCPAXeifVXum9BtZBqq2ku1fZ_3Or9olx3hvhxx5xsjRw&amp;refId=J9soHv4jEZiM51FMHZrtBw%3D%3D&amp;trackingId=jLAZCxY3%2FdoISTZYPD8ScA%3D%3D&amp;trk=d_flagship3_postapply_next_best_action" TargetMode="External"/><Relationship Id="rId24" Type="http://schemas.openxmlformats.org/officeDocument/2006/relationships/hyperlink" Target="mailto:Contact@agexis.com" TargetMode="External"/><Relationship Id="rId5" Type="http://schemas.openxmlformats.org/officeDocument/2006/relationships/hyperlink" Target="mailto:peyroutet@peyroutet.fr" TargetMode="External"/><Relationship Id="rId15" Type="http://schemas.openxmlformats.org/officeDocument/2006/relationships/hyperlink" Target="mailto:web@paritel.fr" TargetMode="External"/><Relationship Id="rId23" Type="http://schemas.openxmlformats.org/officeDocument/2006/relationships/hyperlink" Target="mailto:contact@groupe-gth.com" TargetMode="External"/><Relationship Id="rId28" Type="http://schemas.openxmlformats.org/officeDocument/2006/relationships/hyperlink" Target="mailto:recrutements@vist-and.com" TargetMode="External"/><Relationship Id="rId10" Type="http://schemas.openxmlformats.org/officeDocument/2006/relationships/hyperlink" Target="https://www.linkedin.com/jobs/view/4347043748/?alternateChannel=search&amp;eBP=CwEAAAGavE1n5cxltr6dg2UUbRZoxWtuYf4ZszdLTTfbtwsbkd3FRF_50ch2EXMXv7vXbj9J60IY6qWnkP7NEswD1QW40lR7bPRCwHO9tAPyLdeThzaYnLeA1B7Wwjr1myTzXMuh2PDc2ghxpeNQcRSeZ-6TMK9i0o8zOaYC54hdVFaROvL4ttl3HMWdjmGyKubXFYzZswGfW5X8JTAO7eqc_vyExLzNU9Yg42yfhvj_F0B_GL5X6Y0wqGat0VyR57jxyVmv-25IihhhMs60ktOWj7fgue3DZr6C3g4MafH_xAl0G9YT43CDFMnAj64Ur7PEzMZGSlK0vVNClUQlVOxnZgP-zomwtXTprSnj5GmKoOCtVgpwT8E4t8j8W4J2iuyhsH_dDoEIiNCYwwFlEXndMYKdGwx4ChYXy-TLPqu3lgBaUA&amp;refId=J9soHv4jEZiM51FMHZrtBw%3D%3D&amp;trackingId=uzYgwwctYTLkDEPwOtYJlg%3D%3D&amp;trk=d_flagship3_search_srp_jobs" TargetMode="External"/><Relationship Id="rId19" Type="http://schemas.openxmlformats.org/officeDocument/2006/relationships/hyperlink" Target="mailto:recrutement_SII-IDF@sii.fr" TargetMode="External"/><Relationship Id="rId4" Type="http://schemas.openxmlformats.org/officeDocument/2006/relationships/hyperlink" Target="mailto:contact@vflit.fr" TargetMode="External"/><Relationship Id="rId9" Type="http://schemas.openxmlformats.org/officeDocument/2006/relationships/hyperlink" Target="https://www.hellowork.com/fr-fr/emplois/71819521.html" TargetMode="External"/><Relationship Id="rId14" Type="http://schemas.openxmlformats.org/officeDocument/2006/relationships/hyperlink" Target="mailto:rssi.rssi@tdf.fr" TargetMode="External"/><Relationship Id="rId22" Type="http://schemas.openxmlformats.org/officeDocument/2006/relationships/hyperlink" Target="mailto:vincent.totey@anaya-france.eu%20/" TargetMode="External"/><Relationship Id="rId27" Type="http://schemas.openxmlformats.org/officeDocument/2006/relationships/hyperlink" Target="mailto:contact@auranex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DCD9-54AF-4026-9B8B-7757583454D5}">
  <dimension ref="A1:Y231"/>
  <sheetViews>
    <sheetView tabSelected="1" topLeftCell="A164" zoomScale="85" zoomScaleNormal="85" workbookViewId="0">
      <selection activeCell="B185" sqref="B185"/>
    </sheetView>
  </sheetViews>
  <sheetFormatPr baseColWidth="10" defaultRowHeight="15" x14ac:dyDescent="0.25"/>
  <cols>
    <col min="1" max="1" width="10.5703125" style="2" customWidth="1"/>
    <col min="2" max="2" width="10.7109375" style="1" customWidth="1"/>
    <col min="3" max="3" width="21.42578125" style="2" customWidth="1"/>
    <col min="4" max="4" width="14.5703125" style="1" customWidth="1"/>
    <col min="5" max="5" width="19.140625" customWidth="1"/>
    <col min="6" max="6" width="29.28515625" style="8" customWidth="1"/>
    <col min="7" max="15" width="11.42578125" style="8"/>
    <col min="16" max="18" width="11.85546875" style="8" customWidth="1"/>
    <col min="19" max="25" width="11.42578125" style="8"/>
  </cols>
  <sheetData>
    <row r="1" spans="1:19" x14ac:dyDescent="0.25">
      <c r="A1" s="9" t="s">
        <v>0</v>
      </c>
      <c r="B1" s="9" t="s">
        <v>132</v>
      </c>
      <c r="C1" s="10" t="s">
        <v>1</v>
      </c>
      <c r="D1" s="10" t="s">
        <v>2</v>
      </c>
      <c r="E1" s="10" t="s">
        <v>7</v>
      </c>
      <c r="F1" s="10" t="s">
        <v>107</v>
      </c>
      <c r="P1" s="11" t="s">
        <v>0</v>
      </c>
      <c r="Q1" t="s">
        <v>58</v>
      </c>
      <c r="R1" t="s">
        <v>60</v>
      </c>
      <c r="S1" t="s">
        <v>61</v>
      </c>
    </row>
    <row r="2" spans="1:19" x14ac:dyDescent="0.25">
      <c r="A2" s="11">
        <v>45985</v>
      </c>
      <c r="B2" s="11" t="s">
        <v>133</v>
      </c>
      <c r="C2" s="12" t="s">
        <v>5</v>
      </c>
      <c r="D2" s="13" t="s">
        <v>112</v>
      </c>
      <c r="E2" s="10" t="s">
        <v>49</v>
      </c>
      <c r="F2" s="12" t="s">
        <v>106</v>
      </c>
      <c r="P2" s="11">
        <v>45985</v>
      </c>
      <c r="Q2" s="12" t="s">
        <v>59</v>
      </c>
      <c r="R2" t="s">
        <v>6</v>
      </c>
      <c r="S2" t="s">
        <v>49</v>
      </c>
    </row>
    <row r="3" spans="1:19" x14ac:dyDescent="0.25">
      <c r="A3" s="11">
        <v>45985</v>
      </c>
      <c r="B3" s="11" t="s">
        <v>133</v>
      </c>
      <c r="C3" s="12" t="s">
        <v>10</v>
      </c>
      <c r="D3" s="13" t="s">
        <v>73</v>
      </c>
      <c r="E3" s="10" t="s">
        <v>49</v>
      </c>
      <c r="F3"/>
      <c r="P3" s="11">
        <v>45985</v>
      </c>
      <c r="Q3" t="s">
        <v>67</v>
      </c>
      <c r="R3" t="s">
        <v>6</v>
      </c>
      <c r="S3" t="s">
        <v>49</v>
      </c>
    </row>
    <row r="4" spans="1:19" x14ac:dyDescent="0.25">
      <c r="A4" s="11">
        <v>45985</v>
      </c>
      <c r="B4" s="11" t="s">
        <v>133</v>
      </c>
      <c r="C4" s="12" t="s">
        <v>12</v>
      </c>
      <c r="D4" s="13" t="s">
        <v>73</v>
      </c>
      <c r="E4" s="10" t="s">
        <v>64</v>
      </c>
      <c r="F4" t="s">
        <v>110</v>
      </c>
      <c r="P4" s="11">
        <v>45985</v>
      </c>
      <c r="Q4" t="s">
        <v>68</v>
      </c>
      <c r="R4" t="s">
        <v>6</v>
      </c>
      <c r="S4" t="s">
        <v>49</v>
      </c>
    </row>
    <row r="5" spans="1:19" x14ac:dyDescent="0.25">
      <c r="A5" s="11">
        <v>45985</v>
      </c>
      <c r="B5" s="11" t="s">
        <v>133</v>
      </c>
      <c r="C5" s="12" t="s">
        <v>15</v>
      </c>
      <c r="D5" s="13" t="s">
        <v>116</v>
      </c>
      <c r="E5" s="10" t="s">
        <v>49</v>
      </c>
      <c r="F5" s="12" t="s">
        <v>106</v>
      </c>
      <c r="P5" s="11">
        <v>45985</v>
      </c>
      <c r="Q5" s="12" t="s">
        <v>69</v>
      </c>
      <c r="R5" t="s">
        <v>6</v>
      </c>
      <c r="S5" t="s">
        <v>49</v>
      </c>
    </row>
    <row r="6" spans="1:19" x14ac:dyDescent="0.25">
      <c r="A6" s="11">
        <v>45985</v>
      </c>
      <c r="B6" s="11" t="s">
        <v>133</v>
      </c>
      <c r="C6" s="12" t="s">
        <v>17</v>
      </c>
      <c r="D6" t="s">
        <v>74</v>
      </c>
      <c r="E6" s="10" t="s">
        <v>49</v>
      </c>
      <c r="F6" s="12"/>
      <c r="P6" s="11">
        <v>45985</v>
      </c>
      <c r="Q6" s="12" t="s">
        <v>70</v>
      </c>
      <c r="R6" t="s">
        <v>6</v>
      </c>
      <c r="S6" t="s">
        <v>49</v>
      </c>
    </row>
    <row r="7" spans="1:19" x14ac:dyDescent="0.25">
      <c r="A7" s="11">
        <v>45985</v>
      </c>
      <c r="B7" s="11" t="s">
        <v>133</v>
      </c>
      <c r="C7" s="12" t="s">
        <v>20</v>
      </c>
      <c r="D7" t="s">
        <v>112</v>
      </c>
      <c r="E7" s="10" t="s">
        <v>49</v>
      </c>
      <c r="F7"/>
      <c r="P7" s="11">
        <v>45985</v>
      </c>
      <c r="Q7" t="s">
        <v>71</v>
      </c>
      <c r="R7" t="s">
        <v>6</v>
      </c>
      <c r="S7" t="s">
        <v>49</v>
      </c>
    </row>
    <row r="8" spans="1:19" x14ac:dyDescent="0.25">
      <c r="A8" s="11">
        <v>45985</v>
      </c>
      <c r="B8" s="11" t="s">
        <v>133</v>
      </c>
      <c r="C8" t="s">
        <v>23</v>
      </c>
      <c r="D8" t="s">
        <v>73</v>
      </c>
      <c r="E8" s="10" t="s">
        <v>49</v>
      </c>
      <c r="F8"/>
      <c r="P8" s="11"/>
      <c r="Q8"/>
      <c r="R8" t="s">
        <v>6</v>
      </c>
      <c r="S8"/>
    </row>
    <row r="9" spans="1:19" x14ac:dyDescent="0.25">
      <c r="A9" s="11">
        <v>45985</v>
      </c>
      <c r="B9" s="11" t="s">
        <v>133</v>
      </c>
      <c r="C9" t="s">
        <v>25</v>
      </c>
      <c r="D9" t="s">
        <v>73</v>
      </c>
      <c r="E9" s="10" t="s">
        <v>64</v>
      </c>
      <c r="F9" t="s">
        <v>78</v>
      </c>
      <c r="P9" s="11"/>
      <c r="Q9"/>
      <c r="R9"/>
      <c r="S9"/>
    </row>
    <row r="10" spans="1:19" x14ac:dyDescent="0.25">
      <c r="A10" s="11">
        <v>45985</v>
      </c>
      <c r="B10" s="11" t="s">
        <v>133</v>
      </c>
      <c r="C10" t="s">
        <v>27</v>
      </c>
      <c r="D10" t="s">
        <v>73</v>
      </c>
      <c r="E10" s="10" t="s">
        <v>49</v>
      </c>
      <c r="F10"/>
      <c r="P10" s="11"/>
      <c r="Q10"/>
      <c r="R10"/>
      <c r="S10"/>
    </row>
    <row r="11" spans="1:19" x14ac:dyDescent="0.25">
      <c r="A11" s="11">
        <v>45985</v>
      </c>
      <c r="B11" s="11" t="s">
        <v>133</v>
      </c>
      <c r="C11" t="s">
        <v>29</v>
      </c>
      <c r="D11" t="s">
        <v>73</v>
      </c>
      <c r="E11" s="10" t="s">
        <v>49</v>
      </c>
      <c r="F11"/>
      <c r="P11" s="11"/>
      <c r="Q11"/>
      <c r="R11"/>
      <c r="S11"/>
    </row>
    <row r="12" spans="1:19" x14ac:dyDescent="0.25">
      <c r="A12" s="11">
        <v>45985</v>
      </c>
      <c r="B12" s="11" t="s">
        <v>133</v>
      </c>
      <c r="C12" s="12" t="s">
        <v>31</v>
      </c>
      <c r="D12" t="s">
        <v>74</v>
      </c>
      <c r="E12" s="10" t="s">
        <v>102</v>
      </c>
      <c r="F12" t="s">
        <v>117</v>
      </c>
      <c r="P12" s="11"/>
      <c r="Q12"/>
      <c r="R12"/>
      <c r="S12"/>
    </row>
    <row r="13" spans="1:19" x14ac:dyDescent="0.25">
      <c r="A13" s="11">
        <v>45985</v>
      </c>
      <c r="B13" s="11" t="s">
        <v>133</v>
      </c>
      <c r="C13" t="s">
        <v>34</v>
      </c>
      <c r="D13" t="s">
        <v>21</v>
      </c>
      <c r="E13" s="10" t="s">
        <v>49</v>
      </c>
      <c r="F13"/>
    </row>
    <row r="14" spans="1:19" x14ac:dyDescent="0.25">
      <c r="A14" s="11">
        <v>45985</v>
      </c>
      <c r="B14" s="11" t="s">
        <v>133</v>
      </c>
      <c r="C14" s="12" t="s">
        <v>43</v>
      </c>
      <c r="D14" t="s">
        <v>73</v>
      </c>
      <c r="E14" s="10" t="s">
        <v>49</v>
      </c>
      <c r="F14"/>
    </row>
    <row r="15" spans="1:19" x14ac:dyDescent="0.25">
      <c r="A15" s="11">
        <v>45985</v>
      </c>
      <c r="B15" s="11" t="s">
        <v>133</v>
      </c>
      <c r="C15" s="12" t="s">
        <v>46</v>
      </c>
      <c r="D15" t="s">
        <v>74</v>
      </c>
      <c r="E15" s="10" t="s">
        <v>49</v>
      </c>
      <c r="F15"/>
    </row>
    <row r="16" spans="1:19" x14ac:dyDescent="0.25">
      <c r="A16" s="11">
        <v>45985</v>
      </c>
      <c r="B16" s="11" t="s">
        <v>133</v>
      </c>
      <c r="C16" s="12" t="s">
        <v>50</v>
      </c>
      <c r="D16" t="s">
        <v>21</v>
      </c>
      <c r="E16" s="10" t="s">
        <v>49</v>
      </c>
      <c r="F16"/>
    </row>
    <row r="17" spans="1:17" x14ac:dyDescent="0.25">
      <c r="A17" s="11">
        <v>45985</v>
      </c>
      <c r="B17" s="11" t="s">
        <v>133</v>
      </c>
      <c r="C17" s="12" t="s">
        <v>51</v>
      </c>
      <c r="D17" t="s">
        <v>73</v>
      </c>
      <c r="E17" s="10" t="s">
        <v>49</v>
      </c>
      <c r="F17"/>
    </row>
    <row r="18" spans="1:17" x14ac:dyDescent="0.25">
      <c r="A18" s="11">
        <v>45985</v>
      </c>
      <c r="B18" s="11" t="s">
        <v>133</v>
      </c>
      <c r="C18" t="s">
        <v>53</v>
      </c>
      <c r="D18" t="s">
        <v>21</v>
      </c>
      <c r="E18" s="10" t="s">
        <v>49</v>
      </c>
      <c r="F18"/>
    </row>
    <row r="19" spans="1:17" x14ac:dyDescent="0.25">
      <c r="A19" s="11">
        <v>45985</v>
      </c>
      <c r="B19" s="11" t="s">
        <v>133</v>
      </c>
      <c r="C19" t="s">
        <v>55</v>
      </c>
      <c r="D19" t="s">
        <v>21</v>
      </c>
      <c r="E19" s="10" t="s">
        <v>49</v>
      </c>
      <c r="F19"/>
    </row>
    <row r="20" spans="1:17" x14ac:dyDescent="0.25">
      <c r="A20" s="11">
        <v>45985</v>
      </c>
      <c r="B20" s="11" t="s">
        <v>133</v>
      </c>
      <c r="C20" s="12" t="s">
        <v>57</v>
      </c>
      <c r="D20" t="s">
        <v>73</v>
      </c>
      <c r="E20" s="10" t="s">
        <v>49</v>
      </c>
      <c r="F20"/>
    </row>
    <row r="21" spans="1:17" x14ac:dyDescent="0.25">
      <c r="A21" s="11">
        <v>45986</v>
      </c>
      <c r="B21" s="11" t="s">
        <v>133</v>
      </c>
      <c r="C21" s="12" t="s">
        <v>79</v>
      </c>
      <c r="D21" s="12" t="s">
        <v>114</v>
      </c>
      <c r="E21" s="10" t="s">
        <v>64</v>
      </c>
      <c r="F21"/>
    </row>
    <row r="22" spans="1:17" x14ac:dyDescent="0.25">
      <c r="A22" s="11">
        <v>45986</v>
      </c>
      <c r="B22" s="11" t="s">
        <v>133</v>
      </c>
      <c r="C22" t="s">
        <v>81</v>
      </c>
      <c r="D22" s="12" t="s">
        <v>75</v>
      </c>
      <c r="E22" t="s">
        <v>64</v>
      </c>
      <c r="F22" t="s">
        <v>82</v>
      </c>
    </row>
    <row r="23" spans="1:17" x14ac:dyDescent="0.25">
      <c r="A23" s="11">
        <v>45986</v>
      </c>
      <c r="B23" s="11" t="s">
        <v>133</v>
      </c>
      <c r="C23" s="12" t="s">
        <v>84</v>
      </c>
      <c r="D23" s="12" t="s">
        <v>112</v>
      </c>
      <c r="E23" t="s">
        <v>49</v>
      </c>
      <c r="F23"/>
      <c r="P23" s="15"/>
    </row>
    <row r="24" spans="1:17" x14ac:dyDescent="0.25">
      <c r="A24" s="11">
        <v>45986</v>
      </c>
      <c r="B24" s="11" t="s">
        <v>133</v>
      </c>
      <c r="C24" s="14" t="s">
        <v>87</v>
      </c>
      <c r="D24" s="12" t="s">
        <v>76</v>
      </c>
      <c r="E24" t="s">
        <v>49</v>
      </c>
      <c r="F24"/>
      <c r="P24" s="15"/>
      <c r="Q24" s="16"/>
    </row>
    <row r="25" spans="1:17" x14ac:dyDescent="0.25">
      <c r="A25" s="11">
        <v>45986</v>
      </c>
      <c r="B25" s="11" t="s">
        <v>133</v>
      </c>
      <c r="C25" s="12" t="s">
        <v>91</v>
      </c>
      <c r="D25" s="12" t="s">
        <v>74</v>
      </c>
      <c r="E25" t="s">
        <v>49</v>
      </c>
      <c r="F25"/>
      <c r="P25" s="15"/>
    </row>
    <row r="26" spans="1:17" x14ac:dyDescent="0.25">
      <c r="A26" s="11">
        <v>45986</v>
      </c>
      <c r="B26" s="11" t="s">
        <v>133</v>
      </c>
      <c r="C26" s="18" t="s">
        <v>92</v>
      </c>
      <c r="D26" t="s">
        <v>21</v>
      </c>
      <c r="E26" t="s">
        <v>49</v>
      </c>
      <c r="F26" t="s">
        <v>130</v>
      </c>
      <c r="P26" s="15"/>
    </row>
    <row r="27" spans="1:17" x14ac:dyDescent="0.25">
      <c r="A27" s="11">
        <v>45986</v>
      </c>
      <c r="B27" s="11" t="s">
        <v>133</v>
      </c>
      <c r="C27" t="s">
        <v>94</v>
      </c>
      <c r="D27" s="12" t="s">
        <v>75</v>
      </c>
      <c r="E27" t="s">
        <v>49</v>
      </c>
      <c r="F27"/>
      <c r="P27" s="15"/>
      <c r="Q27" s="16"/>
    </row>
    <row r="28" spans="1:17" x14ac:dyDescent="0.25">
      <c r="A28" s="11">
        <v>45986</v>
      </c>
      <c r="B28" s="11" t="s">
        <v>133</v>
      </c>
      <c r="C28" t="s">
        <v>95</v>
      </c>
      <c r="D28" s="12" t="s">
        <v>75</v>
      </c>
      <c r="E28" t="s">
        <v>64</v>
      </c>
      <c r="F28" t="s">
        <v>307</v>
      </c>
      <c r="P28" s="15"/>
      <c r="Q28" s="16"/>
    </row>
    <row r="29" spans="1:17" x14ac:dyDescent="0.25">
      <c r="A29" s="11">
        <v>45986</v>
      </c>
      <c r="B29" s="11" t="s">
        <v>133</v>
      </c>
      <c r="C29" s="12" t="s">
        <v>98</v>
      </c>
      <c r="D29" t="s">
        <v>75</v>
      </c>
      <c r="E29" t="s">
        <v>49</v>
      </c>
      <c r="F29"/>
      <c r="P29" s="15"/>
    </row>
    <row r="30" spans="1:17" x14ac:dyDescent="0.25">
      <c r="A30" s="11">
        <v>45986</v>
      </c>
      <c r="B30" s="11" t="s">
        <v>133</v>
      </c>
      <c r="C30" t="s">
        <v>100</v>
      </c>
      <c r="D30" s="12" t="s">
        <v>73</v>
      </c>
      <c r="E30" t="s">
        <v>64</v>
      </c>
      <c r="F30"/>
      <c r="P30" s="15"/>
    </row>
    <row r="31" spans="1:17" x14ac:dyDescent="0.25">
      <c r="A31" s="11">
        <v>45986</v>
      </c>
      <c r="B31" s="11" t="s">
        <v>133</v>
      </c>
      <c r="C31" t="s">
        <v>101</v>
      </c>
      <c r="D31" t="s">
        <v>21</v>
      </c>
      <c r="E31" t="s">
        <v>49</v>
      </c>
      <c r="F31"/>
      <c r="P31" s="15"/>
    </row>
    <row r="32" spans="1:17" x14ac:dyDescent="0.25">
      <c r="A32" s="11">
        <v>45987</v>
      </c>
      <c r="B32" s="11" t="s">
        <v>133</v>
      </c>
      <c r="C32" t="s">
        <v>118</v>
      </c>
      <c r="D32" s="13" t="s">
        <v>112</v>
      </c>
      <c r="E32" t="s">
        <v>49</v>
      </c>
      <c r="F32" s="12" t="s">
        <v>106</v>
      </c>
      <c r="P32" s="15"/>
    </row>
    <row r="33" spans="1:16" x14ac:dyDescent="0.25">
      <c r="A33" s="11">
        <v>45987</v>
      </c>
      <c r="B33" s="11" t="s">
        <v>133</v>
      </c>
      <c r="C33" t="s">
        <v>121</v>
      </c>
      <c r="D33" t="s">
        <v>74</v>
      </c>
      <c r="E33" t="s">
        <v>49</v>
      </c>
      <c r="F33"/>
      <c r="J33" s="22"/>
      <c r="P33" s="15"/>
    </row>
    <row r="34" spans="1:16" x14ac:dyDescent="0.25">
      <c r="A34" s="11">
        <v>45987</v>
      </c>
      <c r="B34" s="11" t="s">
        <v>133</v>
      </c>
      <c r="C34" t="s">
        <v>122</v>
      </c>
      <c r="D34"/>
      <c r="E34" t="s">
        <v>49</v>
      </c>
      <c r="F34"/>
      <c r="P34" s="15"/>
    </row>
    <row r="35" spans="1:16" x14ac:dyDescent="0.25">
      <c r="A35" s="11">
        <v>45987</v>
      </c>
      <c r="B35" s="11" t="s">
        <v>133</v>
      </c>
      <c r="C35" t="s">
        <v>123</v>
      </c>
      <c r="D35" t="s">
        <v>73</v>
      </c>
      <c r="E35" t="s">
        <v>49</v>
      </c>
      <c r="F35"/>
    </row>
    <row r="36" spans="1:16" x14ac:dyDescent="0.25">
      <c r="A36" s="11">
        <v>45987</v>
      </c>
      <c r="B36" s="11" t="s">
        <v>133</v>
      </c>
      <c r="C36" t="s">
        <v>124</v>
      </c>
      <c r="D36" t="s">
        <v>21</v>
      </c>
      <c r="E36" t="s">
        <v>49</v>
      </c>
      <c r="F36"/>
      <c r="I36" t="s">
        <v>104</v>
      </c>
      <c r="J36" t="s">
        <v>286</v>
      </c>
      <c r="K36" s="8" t="s">
        <v>287</v>
      </c>
      <c r="L36" s="8" t="s">
        <v>288</v>
      </c>
    </row>
    <row r="37" spans="1:16" x14ac:dyDescent="0.25">
      <c r="A37" s="11">
        <v>45987</v>
      </c>
      <c r="B37" s="11" t="s">
        <v>133</v>
      </c>
      <c r="C37" s="12" t="s">
        <v>126</v>
      </c>
      <c r="D37" t="s">
        <v>73</v>
      </c>
      <c r="E37" t="s">
        <v>49</v>
      </c>
      <c r="F37"/>
      <c r="I37" s="6" t="s">
        <v>289</v>
      </c>
      <c r="J37">
        <f>COUNTIF(E1:E406, "*Appel reçu*")</f>
        <v>1</v>
      </c>
      <c r="K37" t="s">
        <v>134</v>
      </c>
      <c r="L37">
        <f>COUNTIF(B1:B406, "*ESN*")</f>
        <v>45</v>
      </c>
    </row>
    <row r="38" spans="1:16" x14ac:dyDescent="0.25">
      <c r="A38" s="11">
        <v>45987</v>
      </c>
      <c r="B38" s="11" t="s">
        <v>133</v>
      </c>
      <c r="C38" s="17" t="s">
        <v>127</v>
      </c>
      <c r="D38" s="11" t="s">
        <v>73</v>
      </c>
      <c r="E38" t="s">
        <v>49</v>
      </c>
      <c r="F38"/>
      <c r="I38" s="23" t="s">
        <v>49</v>
      </c>
      <c r="J38">
        <f>COUNTIF(E1:E406, "*En attente*")</f>
        <v>152</v>
      </c>
      <c r="K38" t="s">
        <v>133</v>
      </c>
      <c r="L38">
        <f>COUNTIF(B1:B406, "*Télécom*")</f>
        <v>54</v>
      </c>
    </row>
    <row r="39" spans="1:16" x14ac:dyDescent="0.25">
      <c r="A39" s="11">
        <v>45987</v>
      </c>
      <c r="B39" s="11" t="s">
        <v>134</v>
      </c>
      <c r="C39" s="17" t="s">
        <v>128</v>
      </c>
      <c r="D39" s="11" t="s">
        <v>73</v>
      </c>
      <c r="E39" t="s">
        <v>49</v>
      </c>
      <c r="F39"/>
      <c r="I39" s="5" t="s">
        <v>64</v>
      </c>
      <c r="J39">
        <f>COUNTIF(E1:E406, "*Refus*")</f>
        <v>30</v>
      </c>
      <c r="K39" t="s">
        <v>218</v>
      </c>
      <c r="L39">
        <f>COUNTIF(B1:B406, "*FAI*")</f>
        <v>50</v>
      </c>
    </row>
    <row r="40" spans="1:16" x14ac:dyDescent="0.25">
      <c r="A40" s="11">
        <v>45987</v>
      </c>
      <c r="B40" s="11" t="s">
        <v>134</v>
      </c>
      <c r="C40" s="11" t="s">
        <v>129</v>
      </c>
      <c r="D40" s="11" t="s">
        <v>73</v>
      </c>
      <c r="E40" t="s">
        <v>49</v>
      </c>
      <c r="F40"/>
      <c r="I40" t="s">
        <v>290</v>
      </c>
      <c r="J40">
        <f>J39+J38+J37</f>
        <v>183</v>
      </c>
      <c r="K40" t="s">
        <v>200</v>
      </c>
      <c r="L40">
        <f>COUNTIF(B1:B406, "*Mairie*")</f>
        <v>14</v>
      </c>
    </row>
    <row r="41" spans="1:16" x14ac:dyDescent="0.25">
      <c r="A41" s="11">
        <v>45987</v>
      </c>
      <c r="B41" s="11" t="s">
        <v>134</v>
      </c>
      <c r="C41" s="19" t="s">
        <v>131</v>
      </c>
      <c r="D41" s="11" t="s">
        <v>73</v>
      </c>
      <c r="E41" t="s">
        <v>49</v>
      </c>
      <c r="F41"/>
    </row>
    <row r="42" spans="1:16" x14ac:dyDescent="0.25">
      <c r="A42" s="11">
        <v>45987</v>
      </c>
      <c r="B42" s="11" t="s">
        <v>134</v>
      </c>
      <c r="C42" s="19" t="s">
        <v>135</v>
      </c>
      <c r="D42" s="11" t="s">
        <v>73</v>
      </c>
      <c r="E42" t="s">
        <v>49</v>
      </c>
      <c r="F42"/>
    </row>
    <row r="43" spans="1:16" x14ac:dyDescent="0.25">
      <c r="A43" s="11">
        <v>45987</v>
      </c>
      <c r="B43" s="11" t="s">
        <v>134</v>
      </c>
      <c r="C43" s="19" t="s">
        <v>136</v>
      </c>
      <c r="D43" s="11" t="s">
        <v>73</v>
      </c>
      <c r="E43" t="s">
        <v>49</v>
      </c>
      <c r="F43"/>
    </row>
    <row r="44" spans="1:16" x14ac:dyDescent="0.25">
      <c r="A44" s="11">
        <v>45987</v>
      </c>
      <c r="B44" s="11" t="s">
        <v>134</v>
      </c>
      <c r="C44" s="11" t="s">
        <v>137</v>
      </c>
      <c r="D44" s="11" t="s">
        <v>74</v>
      </c>
      <c r="E44" t="s">
        <v>49</v>
      </c>
      <c r="F44"/>
    </row>
    <row r="45" spans="1:16" x14ac:dyDescent="0.25">
      <c r="A45" s="11">
        <v>45987</v>
      </c>
      <c r="B45" s="11" t="s">
        <v>134</v>
      </c>
      <c r="C45" s="19" t="s">
        <v>139</v>
      </c>
      <c r="D45" s="11" t="s">
        <v>73</v>
      </c>
      <c r="E45" t="s">
        <v>49</v>
      </c>
      <c r="F45"/>
    </row>
    <row r="46" spans="1:16" x14ac:dyDescent="0.25">
      <c r="A46" s="11">
        <v>45987</v>
      </c>
      <c r="B46" s="11" t="s">
        <v>134</v>
      </c>
      <c r="C46" s="20" t="s">
        <v>140</v>
      </c>
      <c r="D46" s="2" t="s">
        <v>73</v>
      </c>
      <c r="E46" s="1" t="s">
        <v>49</v>
      </c>
      <c r="F46"/>
    </row>
    <row r="47" spans="1:16" x14ac:dyDescent="0.25">
      <c r="A47" s="11">
        <v>45987</v>
      </c>
      <c r="B47" s="11" t="s">
        <v>134</v>
      </c>
      <c r="C47" t="s">
        <v>141</v>
      </c>
      <c r="D47" s="1" t="s">
        <v>73</v>
      </c>
      <c r="E47" t="s">
        <v>49</v>
      </c>
      <c r="F47"/>
    </row>
    <row r="48" spans="1:16" x14ac:dyDescent="0.25">
      <c r="A48" s="11">
        <v>45987</v>
      </c>
      <c r="B48" s="11" t="s">
        <v>134</v>
      </c>
      <c r="C48" t="s">
        <v>142</v>
      </c>
      <c r="D48" s="1" t="s">
        <v>73</v>
      </c>
      <c r="E48" t="s">
        <v>49</v>
      </c>
      <c r="F48"/>
    </row>
    <row r="49" spans="1:6" x14ac:dyDescent="0.25">
      <c r="A49" s="11">
        <v>45987</v>
      </c>
      <c r="B49" s="11" t="s">
        <v>134</v>
      </c>
      <c r="C49" t="s">
        <v>144</v>
      </c>
      <c r="D49" s="1" t="s">
        <v>73</v>
      </c>
      <c r="E49" t="s">
        <v>49</v>
      </c>
      <c r="F49"/>
    </row>
    <row r="50" spans="1:6" x14ac:dyDescent="0.25">
      <c r="A50" s="11">
        <v>45987</v>
      </c>
      <c r="B50" s="11" t="s">
        <v>134</v>
      </c>
      <c r="C50" t="s">
        <v>145</v>
      </c>
      <c r="D50" s="1" t="s">
        <v>73</v>
      </c>
      <c r="E50" t="s">
        <v>64</v>
      </c>
      <c r="F50" t="s">
        <v>285</v>
      </c>
    </row>
    <row r="51" spans="1:6" x14ac:dyDescent="0.25">
      <c r="A51" s="11">
        <v>45987</v>
      </c>
      <c r="B51" s="11" t="s">
        <v>134</v>
      </c>
      <c r="C51" t="s">
        <v>146</v>
      </c>
      <c r="D51" t="s">
        <v>73</v>
      </c>
      <c r="E51" t="s">
        <v>49</v>
      </c>
      <c r="F51"/>
    </row>
    <row r="52" spans="1:6" x14ac:dyDescent="0.25">
      <c r="A52" s="11">
        <v>45987</v>
      </c>
      <c r="B52" s="11" t="s">
        <v>134</v>
      </c>
      <c r="C52" s="12" t="s">
        <v>147</v>
      </c>
      <c r="D52" s="1" t="s">
        <v>73</v>
      </c>
      <c r="E52" s="2" t="s">
        <v>49</v>
      </c>
      <c r="F52"/>
    </row>
    <row r="53" spans="1:6" x14ac:dyDescent="0.25">
      <c r="A53" s="11">
        <v>45987</v>
      </c>
      <c r="B53" s="11" t="s">
        <v>134</v>
      </c>
      <c r="C53" t="s">
        <v>148</v>
      </c>
      <c r="D53" s="1" t="s">
        <v>73</v>
      </c>
      <c r="E53" s="2" t="s">
        <v>49</v>
      </c>
      <c r="F53"/>
    </row>
    <row r="54" spans="1:6" x14ac:dyDescent="0.25">
      <c r="A54" s="11">
        <v>45987</v>
      </c>
      <c r="B54" s="11" t="s">
        <v>134</v>
      </c>
      <c r="C54" s="12" t="s">
        <v>149</v>
      </c>
      <c r="D54" s="1" t="s">
        <v>73</v>
      </c>
      <c r="E54" t="s">
        <v>49</v>
      </c>
      <c r="F54"/>
    </row>
    <row r="55" spans="1:6" x14ac:dyDescent="0.25">
      <c r="A55" s="11">
        <v>45987</v>
      </c>
      <c r="B55" s="11" t="s">
        <v>134</v>
      </c>
      <c r="C55" s="12" t="s">
        <v>150</v>
      </c>
      <c r="D55" t="s">
        <v>73</v>
      </c>
      <c r="E55" t="s">
        <v>64</v>
      </c>
      <c r="F55" t="s">
        <v>166</v>
      </c>
    </row>
    <row r="56" spans="1:6" x14ac:dyDescent="0.25">
      <c r="A56" s="11">
        <v>45987</v>
      </c>
      <c r="B56" s="11" t="s">
        <v>134</v>
      </c>
      <c r="C56" s="12" t="s">
        <v>151</v>
      </c>
      <c r="D56" t="s">
        <v>73</v>
      </c>
      <c r="E56" t="s">
        <v>64</v>
      </c>
      <c r="F56" t="s">
        <v>163</v>
      </c>
    </row>
    <row r="57" spans="1:6" x14ac:dyDescent="0.25">
      <c r="A57" s="11">
        <v>45987</v>
      </c>
      <c r="B57" s="11" t="s">
        <v>134</v>
      </c>
      <c r="C57" s="12" t="s">
        <v>152</v>
      </c>
      <c r="D57" t="s">
        <v>73</v>
      </c>
      <c r="E57" t="s">
        <v>49</v>
      </c>
      <c r="F57"/>
    </row>
    <row r="58" spans="1:6" x14ac:dyDescent="0.25">
      <c r="A58" s="11">
        <v>45987</v>
      </c>
      <c r="B58" s="11" t="s">
        <v>134</v>
      </c>
      <c r="C58" s="12" t="s">
        <v>154</v>
      </c>
      <c r="D58" t="s">
        <v>73</v>
      </c>
      <c r="E58" t="s">
        <v>49</v>
      </c>
      <c r="F58"/>
    </row>
    <row r="59" spans="1:6" x14ac:dyDescent="0.25">
      <c r="A59" s="11">
        <v>45987</v>
      </c>
      <c r="B59" s="11" t="s">
        <v>134</v>
      </c>
      <c r="C59" s="12" t="s">
        <v>155</v>
      </c>
      <c r="D59" t="s">
        <v>21</v>
      </c>
      <c r="E59" t="s">
        <v>49</v>
      </c>
      <c r="F59"/>
    </row>
    <row r="60" spans="1:6" x14ac:dyDescent="0.25">
      <c r="A60" s="11">
        <v>45987</v>
      </c>
      <c r="B60" s="11" t="s">
        <v>134</v>
      </c>
      <c r="C60" s="12" t="s">
        <v>157</v>
      </c>
      <c r="D60" t="s">
        <v>73</v>
      </c>
      <c r="E60" t="s">
        <v>49</v>
      </c>
      <c r="F60"/>
    </row>
    <row r="61" spans="1:6" x14ac:dyDescent="0.25">
      <c r="A61" s="11">
        <v>45987</v>
      </c>
      <c r="B61" s="11" t="s">
        <v>134</v>
      </c>
      <c r="C61" s="12" t="s">
        <v>158</v>
      </c>
      <c r="D61" t="s">
        <v>77</v>
      </c>
      <c r="E61" t="s">
        <v>49</v>
      </c>
      <c r="F61"/>
    </row>
    <row r="62" spans="1:6" x14ac:dyDescent="0.25">
      <c r="A62" s="11">
        <v>45987</v>
      </c>
      <c r="B62" s="11" t="s">
        <v>134</v>
      </c>
      <c r="C62" t="s">
        <v>159</v>
      </c>
      <c r="D62" s="12" t="s">
        <v>77</v>
      </c>
      <c r="E62" s="2" t="s">
        <v>49</v>
      </c>
      <c r="F62"/>
    </row>
    <row r="63" spans="1:6" x14ac:dyDescent="0.25">
      <c r="A63" s="11">
        <v>45987</v>
      </c>
      <c r="B63" s="11" t="s">
        <v>134</v>
      </c>
      <c r="C63" t="s">
        <v>95</v>
      </c>
      <c r="D63" s="12" t="s">
        <v>77</v>
      </c>
      <c r="E63" s="2" t="s">
        <v>49</v>
      </c>
      <c r="F63"/>
    </row>
    <row r="64" spans="1:6" x14ac:dyDescent="0.25">
      <c r="A64" s="11">
        <v>45987</v>
      </c>
      <c r="B64" s="11" t="s">
        <v>134</v>
      </c>
      <c r="C64" t="s">
        <v>160</v>
      </c>
      <c r="D64" s="12" t="s">
        <v>77</v>
      </c>
      <c r="E64" s="2" t="s">
        <v>49</v>
      </c>
      <c r="F64"/>
    </row>
    <row r="65" spans="1:6" x14ac:dyDescent="0.25">
      <c r="A65" s="11">
        <v>45987</v>
      </c>
      <c r="B65" s="11" t="s">
        <v>134</v>
      </c>
      <c r="C65" s="12" t="s">
        <v>161</v>
      </c>
      <c r="D65" t="s">
        <v>73</v>
      </c>
      <c r="E65" s="2" t="s">
        <v>49</v>
      </c>
      <c r="F65"/>
    </row>
    <row r="66" spans="1:6" x14ac:dyDescent="0.25">
      <c r="A66" s="11">
        <v>45987</v>
      </c>
      <c r="B66" s="11" t="s">
        <v>134</v>
      </c>
      <c r="C66" s="12" t="s">
        <v>162</v>
      </c>
      <c r="D66" t="s">
        <v>73</v>
      </c>
      <c r="E66" s="2" t="s">
        <v>49</v>
      </c>
      <c r="F66"/>
    </row>
    <row r="67" spans="1:6" x14ac:dyDescent="0.25">
      <c r="A67" s="11">
        <v>45988</v>
      </c>
      <c r="B67" s="11" t="s">
        <v>134</v>
      </c>
      <c r="C67" t="s">
        <v>165</v>
      </c>
      <c r="D67" s="12" t="s">
        <v>75</v>
      </c>
      <c r="E67" s="2" t="s">
        <v>64</v>
      </c>
      <c r="F67" t="s">
        <v>163</v>
      </c>
    </row>
    <row r="68" spans="1:6" x14ac:dyDescent="0.25">
      <c r="A68" s="11">
        <v>45988</v>
      </c>
      <c r="B68" s="11" t="s">
        <v>134</v>
      </c>
      <c r="C68" t="s">
        <v>167</v>
      </c>
      <c r="D68" t="s">
        <v>73</v>
      </c>
      <c r="E68" s="2" t="s">
        <v>49</v>
      </c>
      <c r="F68"/>
    </row>
    <row r="69" spans="1:6" x14ac:dyDescent="0.25">
      <c r="A69" s="11">
        <v>45988</v>
      </c>
      <c r="B69" s="11" t="s">
        <v>134</v>
      </c>
      <c r="C69" s="12" t="s">
        <v>170</v>
      </c>
      <c r="D69" t="s">
        <v>73</v>
      </c>
      <c r="E69" s="2" t="s">
        <v>49</v>
      </c>
      <c r="F69"/>
    </row>
    <row r="70" spans="1:6" x14ac:dyDescent="0.25">
      <c r="A70" s="11">
        <v>45988</v>
      </c>
      <c r="B70" s="11" t="s">
        <v>134</v>
      </c>
      <c r="C70" s="12" t="s">
        <v>171</v>
      </c>
      <c r="D70" t="s">
        <v>73</v>
      </c>
      <c r="E70" s="2" t="s">
        <v>49</v>
      </c>
      <c r="F70"/>
    </row>
    <row r="71" spans="1:6" x14ac:dyDescent="0.25">
      <c r="A71" s="11">
        <v>45989</v>
      </c>
      <c r="B71" s="11" t="s">
        <v>134</v>
      </c>
      <c r="C71" s="12" t="s">
        <v>172</v>
      </c>
      <c r="D71" t="s">
        <v>73</v>
      </c>
      <c r="E71" s="2" t="s">
        <v>64</v>
      </c>
      <c r="F71" t="s">
        <v>285</v>
      </c>
    </row>
    <row r="72" spans="1:6" x14ac:dyDescent="0.25">
      <c r="A72" s="11">
        <v>45989</v>
      </c>
      <c r="B72" s="11" t="s">
        <v>134</v>
      </c>
      <c r="C72" s="12" t="s">
        <v>173</v>
      </c>
      <c r="D72" t="s">
        <v>73</v>
      </c>
      <c r="E72" s="2" t="s">
        <v>49</v>
      </c>
      <c r="F72"/>
    </row>
    <row r="73" spans="1:6" x14ac:dyDescent="0.25">
      <c r="A73" s="11">
        <v>45989</v>
      </c>
      <c r="B73" s="11" t="s">
        <v>134</v>
      </c>
      <c r="C73" s="12" t="s">
        <v>174</v>
      </c>
      <c r="D73" t="s">
        <v>73</v>
      </c>
      <c r="E73" s="2" t="s">
        <v>49</v>
      </c>
      <c r="F73"/>
    </row>
    <row r="74" spans="1:6" x14ac:dyDescent="0.25">
      <c r="A74" s="11">
        <v>45989</v>
      </c>
      <c r="B74" s="11" t="s">
        <v>134</v>
      </c>
      <c r="C74" s="12" t="s">
        <v>175</v>
      </c>
      <c r="D74" t="s">
        <v>73</v>
      </c>
      <c r="E74" s="2" t="s">
        <v>49</v>
      </c>
      <c r="F74"/>
    </row>
    <row r="75" spans="1:6" x14ac:dyDescent="0.25">
      <c r="A75" s="11">
        <v>45989</v>
      </c>
      <c r="B75" s="11" t="s">
        <v>134</v>
      </c>
      <c r="C75" s="12" t="s">
        <v>176</v>
      </c>
      <c r="D75" t="s">
        <v>73</v>
      </c>
      <c r="E75" s="2" t="s">
        <v>49</v>
      </c>
      <c r="F75"/>
    </row>
    <row r="76" spans="1:6" x14ac:dyDescent="0.25">
      <c r="A76" s="11">
        <v>45989</v>
      </c>
      <c r="B76" s="11" t="s">
        <v>134</v>
      </c>
      <c r="C76" s="12" t="s">
        <v>177</v>
      </c>
      <c r="D76" t="s">
        <v>73</v>
      </c>
      <c r="E76" s="2" t="s">
        <v>49</v>
      </c>
      <c r="F76"/>
    </row>
    <row r="77" spans="1:6" x14ac:dyDescent="0.25">
      <c r="A77" s="11">
        <v>45989</v>
      </c>
      <c r="B77" s="11" t="s">
        <v>134</v>
      </c>
      <c r="C77" s="12" t="s">
        <v>178</v>
      </c>
      <c r="D77" t="s">
        <v>73</v>
      </c>
      <c r="E77" s="2" t="s">
        <v>49</v>
      </c>
      <c r="F77"/>
    </row>
    <row r="78" spans="1:6" x14ac:dyDescent="0.25">
      <c r="A78" s="11">
        <v>45989</v>
      </c>
      <c r="B78" s="11" t="s">
        <v>134</v>
      </c>
      <c r="C78" s="12" t="s">
        <v>179</v>
      </c>
      <c r="D78" t="s">
        <v>73</v>
      </c>
      <c r="E78" s="2" t="s">
        <v>49</v>
      </c>
      <c r="F78"/>
    </row>
    <row r="79" spans="1:6" x14ac:dyDescent="0.25">
      <c r="A79" s="11">
        <v>45989</v>
      </c>
      <c r="B79" s="11" t="s">
        <v>134</v>
      </c>
      <c r="C79" s="12" t="s">
        <v>180</v>
      </c>
      <c r="D79" t="s">
        <v>73</v>
      </c>
      <c r="E79" s="2" t="s">
        <v>49</v>
      </c>
      <c r="F79"/>
    </row>
    <row r="80" spans="1:6" x14ac:dyDescent="0.25">
      <c r="A80" s="11">
        <v>45989</v>
      </c>
      <c r="B80" s="11" t="s">
        <v>134</v>
      </c>
      <c r="C80" s="12" t="s">
        <v>181</v>
      </c>
      <c r="D80" t="s">
        <v>73</v>
      </c>
      <c r="E80" s="2" t="s">
        <v>49</v>
      </c>
      <c r="F80"/>
    </row>
    <row r="81" spans="1:6" x14ac:dyDescent="0.25">
      <c r="A81" s="11">
        <v>45989</v>
      </c>
      <c r="B81" s="11" t="s">
        <v>134</v>
      </c>
      <c r="C81" s="12" t="s">
        <v>182</v>
      </c>
      <c r="D81"/>
      <c r="E81" s="2" t="s">
        <v>49</v>
      </c>
      <c r="F81"/>
    </row>
    <row r="82" spans="1:6" x14ac:dyDescent="0.25">
      <c r="A82" s="11">
        <v>45989</v>
      </c>
      <c r="B82" s="11" t="s">
        <v>184</v>
      </c>
      <c r="C82" s="12" t="s">
        <v>183</v>
      </c>
      <c r="D82" t="s">
        <v>73</v>
      </c>
      <c r="E82" s="2" t="s">
        <v>49</v>
      </c>
      <c r="F82"/>
    </row>
    <row r="83" spans="1:6" x14ac:dyDescent="0.25">
      <c r="A83" s="11">
        <v>45989</v>
      </c>
      <c r="B83" s="11" t="s">
        <v>186</v>
      </c>
      <c r="C83" s="12" t="s">
        <v>185</v>
      </c>
      <c r="D83" t="s">
        <v>73</v>
      </c>
      <c r="E83" s="2" t="s">
        <v>49</v>
      </c>
      <c r="F83"/>
    </row>
    <row r="84" spans="1:6" x14ac:dyDescent="0.25">
      <c r="A84" s="11">
        <v>45989</v>
      </c>
      <c r="B84" s="11"/>
      <c r="C84" s="12" t="s">
        <v>187</v>
      </c>
      <c r="D84" t="s">
        <v>73</v>
      </c>
      <c r="E84" s="2" t="s">
        <v>64</v>
      </c>
      <c r="F84"/>
    </row>
    <row r="85" spans="1:6" x14ac:dyDescent="0.25">
      <c r="A85" s="11">
        <v>45989</v>
      </c>
      <c r="B85" s="11"/>
      <c r="C85" s="12" t="s">
        <v>188</v>
      </c>
      <c r="D85" t="s">
        <v>73</v>
      </c>
      <c r="E85" s="2" t="s">
        <v>64</v>
      </c>
      <c r="F85" t="s">
        <v>308</v>
      </c>
    </row>
    <row r="86" spans="1:6" x14ac:dyDescent="0.25">
      <c r="A86" s="11">
        <v>45989</v>
      </c>
      <c r="B86" s="11"/>
      <c r="C86" s="12" t="s">
        <v>189</v>
      </c>
      <c r="D86" t="s">
        <v>73</v>
      </c>
      <c r="E86" s="2" t="s">
        <v>49</v>
      </c>
      <c r="F86"/>
    </row>
    <row r="87" spans="1:6" x14ac:dyDescent="0.25">
      <c r="A87" s="11">
        <v>45989</v>
      </c>
      <c r="B87" s="11"/>
      <c r="C87" s="12" t="s">
        <v>190</v>
      </c>
      <c r="D87" t="s">
        <v>73</v>
      </c>
      <c r="E87" s="2" t="s">
        <v>49</v>
      </c>
      <c r="F87"/>
    </row>
    <row r="88" spans="1:6" x14ac:dyDescent="0.25">
      <c r="A88" s="11">
        <v>45989</v>
      </c>
      <c r="B88" s="11"/>
      <c r="C88" s="12" t="s">
        <v>191</v>
      </c>
      <c r="D88" t="s">
        <v>73</v>
      </c>
      <c r="E88" s="2" t="s">
        <v>49</v>
      </c>
      <c r="F88"/>
    </row>
    <row r="89" spans="1:6" x14ac:dyDescent="0.25">
      <c r="A89" s="11">
        <v>45989</v>
      </c>
      <c r="B89" s="11"/>
      <c r="C89" s="12" t="s">
        <v>192</v>
      </c>
      <c r="D89" t="s">
        <v>73</v>
      </c>
      <c r="E89" s="2" t="s">
        <v>49</v>
      </c>
      <c r="F89"/>
    </row>
    <row r="90" spans="1:6" x14ac:dyDescent="0.25">
      <c r="A90" s="11">
        <v>45989</v>
      </c>
      <c r="B90" s="11"/>
      <c r="C90" s="12" t="s">
        <v>193</v>
      </c>
      <c r="D90" t="s">
        <v>73</v>
      </c>
      <c r="E90" s="2" t="s">
        <v>64</v>
      </c>
      <c r="F90" t="s">
        <v>78</v>
      </c>
    </row>
    <row r="91" spans="1:6" x14ac:dyDescent="0.25">
      <c r="A91" s="11">
        <v>45989</v>
      </c>
      <c r="B91" s="11"/>
      <c r="C91" s="12" t="s">
        <v>194</v>
      </c>
      <c r="D91" t="s">
        <v>73</v>
      </c>
      <c r="E91" s="2" t="s">
        <v>64</v>
      </c>
      <c r="F91" t="s">
        <v>282</v>
      </c>
    </row>
    <row r="92" spans="1:6" x14ac:dyDescent="0.25">
      <c r="A92" s="11">
        <v>45989</v>
      </c>
      <c r="B92" s="11"/>
      <c r="C92" s="12" t="s">
        <v>195</v>
      </c>
      <c r="D92" t="s">
        <v>73</v>
      </c>
      <c r="E92" s="2" t="s">
        <v>49</v>
      </c>
      <c r="F92"/>
    </row>
    <row r="93" spans="1:6" x14ac:dyDescent="0.25">
      <c r="A93" s="11">
        <v>45989</v>
      </c>
      <c r="B93" s="11"/>
      <c r="C93" s="12" t="s">
        <v>196</v>
      </c>
      <c r="D93" t="s">
        <v>73</v>
      </c>
      <c r="E93" s="2" t="s">
        <v>49</v>
      </c>
      <c r="F93"/>
    </row>
    <row r="94" spans="1:6" x14ac:dyDescent="0.25">
      <c r="A94" s="11">
        <v>45989</v>
      </c>
      <c r="B94" s="11"/>
      <c r="C94" s="12" t="s">
        <v>197</v>
      </c>
      <c r="D94" t="s">
        <v>73</v>
      </c>
      <c r="E94" s="2" t="s">
        <v>49</v>
      </c>
      <c r="F94"/>
    </row>
    <row r="95" spans="1:6" x14ac:dyDescent="0.25">
      <c r="A95" s="11">
        <v>45989</v>
      </c>
      <c r="B95" s="11" t="s">
        <v>184</v>
      </c>
      <c r="C95" s="12" t="s">
        <v>198</v>
      </c>
      <c r="D95" t="s">
        <v>73</v>
      </c>
      <c r="E95" s="2" t="s">
        <v>49</v>
      </c>
      <c r="F95"/>
    </row>
    <row r="96" spans="1:6" x14ac:dyDescent="0.25">
      <c r="A96" s="11">
        <v>45989</v>
      </c>
      <c r="B96" s="11" t="s">
        <v>200</v>
      </c>
      <c r="C96" s="12" t="s">
        <v>199</v>
      </c>
      <c r="D96"/>
      <c r="E96" s="2" t="s">
        <v>49</v>
      </c>
      <c r="F96"/>
    </row>
    <row r="97" spans="1:6" x14ac:dyDescent="0.25">
      <c r="A97" s="11">
        <v>45989</v>
      </c>
      <c r="B97" s="11" t="s">
        <v>200</v>
      </c>
      <c r="C97" s="12" t="s">
        <v>201</v>
      </c>
      <c r="D97"/>
      <c r="E97" s="2" t="s">
        <v>49</v>
      </c>
      <c r="F97"/>
    </row>
    <row r="98" spans="1:6" x14ac:dyDescent="0.25">
      <c r="A98" s="11">
        <v>45989</v>
      </c>
      <c r="B98" s="11"/>
      <c r="C98" s="12" t="s">
        <v>202</v>
      </c>
      <c r="D98" t="s">
        <v>203</v>
      </c>
      <c r="E98" s="2" t="s">
        <v>49</v>
      </c>
      <c r="F98"/>
    </row>
    <row r="99" spans="1:6" x14ac:dyDescent="0.25">
      <c r="A99" s="11">
        <v>45989</v>
      </c>
      <c r="B99" s="11"/>
      <c r="C99" t="s">
        <v>205</v>
      </c>
      <c r="D99" s="12" t="s">
        <v>203</v>
      </c>
      <c r="E99" s="2" t="s">
        <v>49</v>
      </c>
      <c r="F99"/>
    </row>
    <row r="100" spans="1:6" x14ac:dyDescent="0.25">
      <c r="A100" s="11">
        <v>45989</v>
      </c>
      <c r="B100" s="11"/>
      <c r="C100" t="s">
        <v>206</v>
      </c>
      <c r="D100" s="12" t="s">
        <v>75</v>
      </c>
      <c r="E100" s="2" t="s">
        <v>49</v>
      </c>
      <c r="F100"/>
    </row>
    <row r="101" spans="1:6" x14ac:dyDescent="0.25">
      <c r="A101" s="11">
        <v>45989</v>
      </c>
      <c r="B101" s="11" t="s">
        <v>134</v>
      </c>
      <c r="C101" s="12" t="s">
        <v>207</v>
      </c>
      <c r="D101" t="s">
        <v>73</v>
      </c>
      <c r="E101" s="2" t="s">
        <v>64</v>
      </c>
      <c r="F101" t="s">
        <v>78</v>
      </c>
    </row>
    <row r="102" spans="1:6" x14ac:dyDescent="0.25">
      <c r="A102" s="11">
        <v>45989</v>
      </c>
      <c r="B102" s="11" t="s">
        <v>134</v>
      </c>
      <c r="C102" s="12" t="s">
        <v>208</v>
      </c>
      <c r="D102" t="s">
        <v>73</v>
      </c>
      <c r="E102" s="2" t="s">
        <v>64</v>
      </c>
      <c r="F102"/>
    </row>
    <row r="103" spans="1:6" x14ac:dyDescent="0.25">
      <c r="A103" s="11">
        <v>45989</v>
      </c>
      <c r="B103" s="11" t="s">
        <v>133</v>
      </c>
      <c r="C103" s="12" t="s">
        <v>209</v>
      </c>
      <c r="D103" t="s">
        <v>74</v>
      </c>
      <c r="E103" s="2" t="s">
        <v>49</v>
      </c>
      <c r="F103"/>
    </row>
    <row r="104" spans="1:6" x14ac:dyDescent="0.25">
      <c r="A104" s="11">
        <v>45989</v>
      </c>
      <c r="B104" s="11" t="s">
        <v>133</v>
      </c>
      <c r="C104" s="12" t="s">
        <v>211</v>
      </c>
      <c r="D104" t="s">
        <v>73</v>
      </c>
      <c r="E104" s="2" t="s">
        <v>64</v>
      </c>
      <c r="F104"/>
    </row>
    <row r="105" spans="1:6" x14ac:dyDescent="0.25">
      <c r="A105" s="11">
        <v>45989</v>
      </c>
      <c r="B105" s="11" t="s">
        <v>133</v>
      </c>
      <c r="C105" s="12" t="s">
        <v>212</v>
      </c>
      <c r="D105" t="s">
        <v>73</v>
      </c>
      <c r="E105" s="2" t="s">
        <v>49</v>
      </c>
      <c r="F105"/>
    </row>
    <row r="106" spans="1:6" x14ac:dyDescent="0.25">
      <c r="A106" s="11">
        <v>45989</v>
      </c>
      <c r="B106" s="11" t="s">
        <v>133</v>
      </c>
      <c r="C106" s="12" t="s">
        <v>213</v>
      </c>
      <c r="D106" t="s">
        <v>73</v>
      </c>
      <c r="E106" s="2" t="s">
        <v>49</v>
      </c>
      <c r="F106"/>
    </row>
    <row r="107" spans="1:6" x14ac:dyDescent="0.25">
      <c r="A107" s="11">
        <v>45989</v>
      </c>
      <c r="B107" s="11" t="s">
        <v>133</v>
      </c>
      <c r="C107" s="12" t="s">
        <v>214</v>
      </c>
      <c r="D107" t="s">
        <v>73</v>
      </c>
      <c r="E107" s="2" t="s">
        <v>49</v>
      </c>
      <c r="F107"/>
    </row>
    <row r="108" spans="1:6" x14ac:dyDescent="0.25">
      <c r="A108" s="11">
        <v>45989</v>
      </c>
      <c r="B108" s="11" t="s">
        <v>133</v>
      </c>
      <c r="C108" s="12" t="s">
        <v>215</v>
      </c>
      <c r="D108" t="s">
        <v>73</v>
      </c>
      <c r="E108" s="2" t="s">
        <v>64</v>
      </c>
      <c r="F108"/>
    </row>
    <row r="109" spans="1:6" x14ac:dyDescent="0.25">
      <c r="A109" s="11">
        <v>45989</v>
      </c>
      <c r="B109" s="11" t="s">
        <v>218</v>
      </c>
      <c r="C109" s="12" t="s">
        <v>216</v>
      </c>
      <c r="D109" t="s">
        <v>73</v>
      </c>
      <c r="E109" s="2" t="s">
        <v>49</v>
      </c>
      <c r="F109"/>
    </row>
    <row r="110" spans="1:6" x14ac:dyDescent="0.25">
      <c r="A110" s="11">
        <v>45989</v>
      </c>
      <c r="B110" s="11" t="s">
        <v>218</v>
      </c>
      <c r="C110" s="12" t="s">
        <v>219</v>
      </c>
      <c r="D110" t="s">
        <v>73</v>
      </c>
      <c r="E110" s="2" t="s">
        <v>49</v>
      </c>
      <c r="F110"/>
    </row>
    <row r="111" spans="1:6" x14ac:dyDescent="0.25">
      <c r="A111" s="11">
        <v>45989</v>
      </c>
      <c r="B111" s="11" t="s">
        <v>218</v>
      </c>
      <c r="C111" s="12" t="s">
        <v>220</v>
      </c>
      <c r="D111" t="s">
        <v>73</v>
      </c>
      <c r="E111" s="2" t="s">
        <v>49</v>
      </c>
      <c r="F111"/>
    </row>
    <row r="112" spans="1:6" x14ac:dyDescent="0.25">
      <c r="A112" s="11">
        <v>45989</v>
      </c>
      <c r="B112" s="11" t="s">
        <v>218</v>
      </c>
      <c r="C112" s="12" t="s">
        <v>222</v>
      </c>
      <c r="D112" t="s">
        <v>73</v>
      </c>
      <c r="E112" s="2" t="s">
        <v>49</v>
      </c>
      <c r="F112"/>
    </row>
    <row r="113" spans="1:6" x14ac:dyDescent="0.25">
      <c r="A113" s="11">
        <v>45989</v>
      </c>
      <c r="B113" s="11" t="s">
        <v>218</v>
      </c>
      <c r="C113" s="12" t="s">
        <v>223</v>
      </c>
      <c r="D113" t="s">
        <v>73</v>
      </c>
      <c r="E113" s="2" t="s">
        <v>49</v>
      </c>
      <c r="F113"/>
    </row>
    <row r="114" spans="1:6" x14ac:dyDescent="0.25">
      <c r="A114" s="11">
        <v>45989</v>
      </c>
      <c r="B114" s="11" t="s">
        <v>218</v>
      </c>
      <c r="C114" s="12" t="s">
        <v>224</v>
      </c>
      <c r="D114" t="s">
        <v>73</v>
      </c>
      <c r="E114" s="2" t="s">
        <v>49</v>
      </c>
      <c r="F114"/>
    </row>
    <row r="115" spans="1:6" x14ac:dyDescent="0.25">
      <c r="A115" s="11">
        <v>45989</v>
      </c>
      <c r="B115" s="11" t="s">
        <v>218</v>
      </c>
      <c r="C115" s="12" t="s">
        <v>225</v>
      </c>
      <c r="D115" t="s">
        <v>73</v>
      </c>
      <c r="E115" s="2" t="s">
        <v>49</v>
      </c>
      <c r="F115"/>
    </row>
    <row r="116" spans="1:6" x14ac:dyDescent="0.25">
      <c r="A116" s="11">
        <v>45989</v>
      </c>
      <c r="B116" s="11" t="s">
        <v>218</v>
      </c>
      <c r="C116" s="12" t="s">
        <v>226</v>
      </c>
      <c r="D116" t="s">
        <v>73</v>
      </c>
      <c r="E116" t="s">
        <v>49</v>
      </c>
      <c r="F116"/>
    </row>
    <row r="117" spans="1:6" x14ac:dyDescent="0.25">
      <c r="A117" s="11">
        <v>45989</v>
      </c>
      <c r="B117" s="11" t="s">
        <v>218</v>
      </c>
      <c r="C117" s="12" t="s">
        <v>227</v>
      </c>
      <c r="D117" t="s">
        <v>73</v>
      </c>
      <c r="E117" t="s">
        <v>49</v>
      </c>
      <c r="F117"/>
    </row>
    <row r="118" spans="1:6" x14ac:dyDescent="0.25">
      <c r="A118" s="11">
        <v>45989</v>
      </c>
      <c r="B118" s="11" t="s">
        <v>218</v>
      </c>
      <c r="C118" s="12" t="s">
        <v>228</v>
      </c>
      <c r="D118" t="s">
        <v>73</v>
      </c>
      <c r="E118" t="s">
        <v>49</v>
      </c>
      <c r="F118"/>
    </row>
    <row r="119" spans="1:6" x14ac:dyDescent="0.25">
      <c r="A119" s="11">
        <v>45989</v>
      </c>
      <c r="B119" s="11" t="s">
        <v>218</v>
      </c>
      <c r="C119" t="s">
        <v>229</v>
      </c>
      <c r="D119" t="s">
        <v>74</v>
      </c>
      <c r="E119" t="s">
        <v>49</v>
      </c>
      <c r="F119"/>
    </row>
    <row r="120" spans="1:6" x14ac:dyDescent="0.25">
      <c r="A120" s="11">
        <v>45989</v>
      </c>
      <c r="B120" s="11" t="s">
        <v>218</v>
      </c>
      <c r="C120" s="12" t="s">
        <v>231</v>
      </c>
      <c r="D120" t="s">
        <v>73</v>
      </c>
      <c r="E120" t="s">
        <v>49</v>
      </c>
      <c r="F120"/>
    </row>
    <row r="121" spans="1:6" x14ac:dyDescent="0.25">
      <c r="A121" s="11">
        <v>45989</v>
      </c>
      <c r="B121" s="11" t="s">
        <v>218</v>
      </c>
      <c r="C121" s="12" t="s">
        <v>232</v>
      </c>
      <c r="D121" t="s">
        <v>73</v>
      </c>
      <c r="E121" t="s">
        <v>49</v>
      </c>
      <c r="F121"/>
    </row>
    <row r="122" spans="1:6" x14ac:dyDescent="0.25">
      <c r="A122" s="11">
        <v>45989</v>
      </c>
      <c r="B122" s="11" t="s">
        <v>218</v>
      </c>
      <c r="C122" s="12" t="s">
        <v>233</v>
      </c>
      <c r="D122" t="s">
        <v>73</v>
      </c>
      <c r="E122" t="s">
        <v>49</v>
      </c>
      <c r="F122"/>
    </row>
    <row r="123" spans="1:6" x14ac:dyDescent="0.25">
      <c r="A123" s="11">
        <v>45990</v>
      </c>
      <c r="B123" s="11" t="s">
        <v>218</v>
      </c>
      <c r="C123" s="18" t="s">
        <v>234</v>
      </c>
      <c r="D123" t="s">
        <v>73</v>
      </c>
      <c r="E123" t="s">
        <v>64</v>
      </c>
      <c r="F123"/>
    </row>
    <row r="124" spans="1:6" x14ac:dyDescent="0.25">
      <c r="A124" s="11">
        <v>45990</v>
      </c>
      <c r="B124" s="11" t="s">
        <v>218</v>
      </c>
      <c r="C124" s="18" t="s">
        <v>235</v>
      </c>
      <c r="D124" t="s">
        <v>73</v>
      </c>
      <c r="E124" t="s">
        <v>49</v>
      </c>
      <c r="F124"/>
    </row>
    <row r="125" spans="1:6" x14ac:dyDescent="0.25">
      <c r="A125" s="11">
        <v>45990</v>
      </c>
      <c r="B125" s="11" t="s">
        <v>218</v>
      </c>
      <c r="C125" s="12" t="s">
        <v>236</v>
      </c>
      <c r="D125" t="s">
        <v>73</v>
      </c>
      <c r="E125" t="s">
        <v>49</v>
      </c>
      <c r="F125"/>
    </row>
    <row r="126" spans="1:6" x14ac:dyDescent="0.25">
      <c r="A126" s="11">
        <v>45990</v>
      </c>
      <c r="B126" s="11" t="s">
        <v>218</v>
      </c>
      <c r="C126" s="12" t="s">
        <v>237</v>
      </c>
      <c r="D126" t="s">
        <v>73</v>
      </c>
      <c r="E126" t="s">
        <v>49</v>
      </c>
      <c r="F126"/>
    </row>
    <row r="127" spans="1:6" x14ac:dyDescent="0.25">
      <c r="A127" s="11">
        <v>45990</v>
      </c>
      <c r="B127" s="11" t="s">
        <v>218</v>
      </c>
      <c r="C127" s="12" t="s">
        <v>238</v>
      </c>
      <c r="D127" t="s">
        <v>73</v>
      </c>
      <c r="E127" t="s">
        <v>49</v>
      </c>
      <c r="F127"/>
    </row>
    <row r="128" spans="1:6" x14ac:dyDescent="0.25">
      <c r="A128" s="11">
        <v>45990</v>
      </c>
      <c r="B128" s="11" t="s">
        <v>218</v>
      </c>
      <c r="C128" s="12" t="s">
        <v>239</v>
      </c>
      <c r="D128" t="s">
        <v>73</v>
      </c>
      <c r="E128" t="s">
        <v>64</v>
      </c>
      <c r="F128"/>
    </row>
    <row r="129" spans="1:6" x14ac:dyDescent="0.25">
      <c r="A129" s="11">
        <v>45990</v>
      </c>
      <c r="B129" s="11" t="s">
        <v>218</v>
      </c>
      <c r="C129" s="12" t="s">
        <v>240</v>
      </c>
      <c r="D129" t="s">
        <v>73</v>
      </c>
      <c r="E129" t="s">
        <v>49</v>
      </c>
      <c r="F129"/>
    </row>
    <row r="130" spans="1:6" x14ac:dyDescent="0.25">
      <c r="A130" s="11">
        <v>45990</v>
      </c>
      <c r="B130" s="11" t="s">
        <v>218</v>
      </c>
      <c r="C130" s="12" t="s">
        <v>241</v>
      </c>
      <c r="D130" t="s">
        <v>73</v>
      </c>
      <c r="E130" t="s">
        <v>49</v>
      </c>
      <c r="F130"/>
    </row>
    <row r="131" spans="1:6" x14ac:dyDescent="0.25">
      <c r="A131" s="11">
        <v>45990</v>
      </c>
      <c r="B131" s="11" t="s">
        <v>218</v>
      </c>
      <c r="C131" s="12" t="s">
        <v>242</v>
      </c>
      <c r="D131" t="s">
        <v>73</v>
      </c>
      <c r="E131" t="s">
        <v>64</v>
      </c>
      <c r="F131" t="s">
        <v>285</v>
      </c>
    </row>
    <row r="132" spans="1:6" x14ac:dyDescent="0.25">
      <c r="A132" s="11">
        <v>45990</v>
      </c>
      <c r="B132" s="11" t="s">
        <v>218</v>
      </c>
      <c r="C132" s="12" t="s">
        <v>243</v>
      </c>
      <c r="D132" t="s">
        <v>73</v>
      </c>
      <c r="E132" t="s">
        <v>64</v>
      </c>
      <c r="F132"/>
    </row>
    <row r="133" spans="1:6" x14ac:dyDescent="0.25">
      <c r="A133" s="11">
        <v>45990</v>
      </c>
      <c r="B133" s="11" t="s">
        <v>218</v>
      </c>
      <c r="C133" s="12" t="s">
        <v>244</v>
      </c>
      <c r="D133" t="s">
        <v>73</v>
      </c>
      <c r="E133" t="s">
        <v>49</v>
      </c>
      <c r="F133"/>
    </row>
    <row r="134" spans="1:6" x14ac:dyDescent="0.25">
      <c r="A134" s="11">
        <v>45990</v>
      </c>
      <c r="B134" s="11" t="s">
        <v>218</v>
      </c>
      <c r="C134" s="12" t="s">
        <v>245</v>
      </c>
      <c r="D134" t="s">
        <v>73</v>
      </c>
      <c r="E134" t="s">
        <v>49</v>
      </c>
      <c r="F134"/>
    </row>
    <row r="135" spans="1:6" x14ac:dyDescent="0.25">
      <c r="A135" s="11">
        <v>45990</v>
      </c>
      <c r="B135" s="11" t="s">
        <v>218</v>
      </c>
      <c r="C135" s="12" t="s">
        <v>246</v>
      </c>
      <c r="D135" t="s">
        <v>73</v>
      </c>
      <c r="E135" t="s">
        <v>49</v>
      </c>
      <c r="F135"/>
    </row>
    <row r="136" spans="1:6" x14ac:dyDescent="0.25">
      <c r="A136" s="11">
        <v>45990</v>
      </c>
      <c r="B136" s="11" t="s">
        <v>218</v>
      </c>
      <c r="C136" s="12" t="s">
        <v>247</v>
      </c>
      <c r="D136" t="s">
        <v>73</v>
      </c>
      <c r="E136" t="s">
        <v>49</v>
      </c>
      <c r="F136"/>
    </row>
    <row r="137" spans="1:6" x14ac:dyDescent="0.25">
      <c r="A137" s="11">
        <v>45990</v>
      </c>
      <c r="B137" s="11" t="s">
        <v>218</v>
      </c>
      <c r="C137" s="12" t="s">
        <v>248</v>
      </c>
      <c r="D137" t="s">
        <v>73</v>
      </c>
      <c r="E137" t="s">
        <v>64</v>
      </c>
      <c r="F137" t="s">
        <v>285</v>
      </c>
    </row>
    <row r="138" spans="1:6" x14ac:dyDescent="0.25">
      <c r="A138" s="11">
        <v>45990</v>
      </c>
      <c r="B138" s="11" t="s">
        <v>218</v>
      </c>
      <c r="C138" s="12" t="s">
        <v>249</v>
      </c>
      <c r="D138" t="s">
        <v>73</v>
      </c>
      <c r="E138" t="s">
        <v>49</v>
      </c>
      <c r="F138"/>
    </row>
    <row r="139" spans="1:6" x14ac:dyDescent="0.25">
      <c r="A139" s="11">
        <v>45990</v>
      </c>
      <c r="B139" s="11" t="s">
        <v>218</v>
      </c>
      <c r="C139" s="12" t="s">
        <v>250</v>
      </c>
      <c r="D139" t="s">
        <v>73</v>
      </c>
      <c r="E139" t="s">
        <v>64</v>
      </c>
      <c r="F139" t="s">
        <v>78</v>
      </c>
    </row>
    <row r="140" spans="1:6" x14ac:dyDescent="0.25">
      <c r="A140" s="11">
        <v>45990</v>
      </c>
      <c r="B140" s="11" t="s">
        <v>218</v>
      </c>
      <c r="C140" s="12" t="s">
        <v>252</v>
      </c>
      <c r="D140" t="s">
        <v>21</v>
      </c>
      <c r="E140" t="s">
        <v>49</v>
      </c>
      <c r="F140"/>
    </row>
    <row r="141" spans="1:6" x14ac:dyDescent="0.25">
      <c r="A141" s="11">
        <v>45990</v>
      </c>
      <c r="B141" s="11" t="s">
        <v>218</v>
      </c>
      <c r="C141" s="12" t="s">
        <v>253</v>
      </c>
      <c r="D141" t="s">
        <v>73</v>
      </c>
      <c r="E141" t="s">
        <v>49</v>
      </c>
      <c r="F141"/>
    </row>
    <row r="142" spans="1:6" x14ac:dyDescent="0.25">
      <c r="A142" s="11">
        <v>45990</v>
      </c>
      <c r="B142" s="11" t="s">
        <v>218</v>
      </c>
      <c r="C142" s="12" t="s">
        <v>254</v>
      </c>
      <c r="D142" t="s">
        <v>73</v>
      </c>
      <c r="E142" t="s">
        <v>49</v>
      </c>
      <c r="F142"/>
    </row>
    <row r="143" spans="1:6" x14ac:dyDescent="0.25">
      <c r="A143" s="11">
        <v>45990</v>
      </c>
      <c r="B143" s="11" t="s">
        <v>218</v>
      </c>
      <c r="C143" s="12" t="s">
        <v>255</v>
      </c>
      <c r="D143" t="s">
        <v>73</v>
      </c>
      <c r="E143" t="s">
        <v>49</v>
      </c>
      <c r="F143"/>
    </row>
    <row r="144" spans="1:6" x14ac:dyDescent="0.25">
      <c r="A144" s="11">
        <v>45990</v>
      </c>
      <c r="B144" s="11" t="s">
        <v>218</v>
      </c>
      <c r="C144" s="12" t="s">
        <v>256</v>
      </c>
      <c r="D144" t="s">
        <v>73</v>
      </c>
      <c r="E144" t="s">
        <v>49</v>
      </c>
      <c r="F144"/>
    </row>
    <row r="145" spans="1:6" x14ac:dyDescent="0.25">
      <c r="A145" s="11">
        <v>45990</v>
      </c>
      <c r="B145" s="11" t="s">
        <v>218</v>
      </c>
      <c r="C145" s="12" t="s">
        <v>257</v>
      </c>
      <c r="D145" t="s">
        <v>73</v>
      </c>
      <c r="E145" t="s">
        <v>49</v>
      </c>
      <c r="F145"/>
    </row>
    <row r="146" spans="1:6" x14ac:dyDescent="0.25">
      <c r="A146" s="11">
        <v>45990</v>
      </c>
      <c r="B146" s="11" t="s">
        <v>218</v>
      </c>
      <c r="C146" s="12" t="s">
        <v>258</v>
      </c>
      <c r="D146" t="s">
        <v>73</v>
      </c>
      <c r="E146" t="s">
        <v>49</v>
      </c>
      <c r="F146"/>
    </row>
    <row r="147" spans="1:6" x14ac:dyDescent="0.25">
      <c r="A147" s="11">
        <v>45990</v>
      </c>
      <c r="B147" s="11" t="s">
        <v>218</v>
      </c>
      <c r="C147" s="12" t="s">
        <v>259</v>
      </c>
      <c r="D147" t="s">
        <v>73</v>
      </c>
      <c r="E147" t="s">
        <v>49</v>
      </c>
      <c r="F147"/>
    </row>
    <row r="148" spans="1:6" x14ac:dyDescent="0.25">
      <c r="A148" s="11">
        <v>45990</v>
      </c>
      <c r="B148" s="11" t="s">
        <v>218</v>
      </c>
      <c r="C148" s="12" t="s">
        <v>260</v>
      </c>
      <c r="D148" t="s">
        <v>73</v>
      </c>
      <c r="E148" t="s">
        <v>49</v>
      </c>
      <c r="F148"/>
    </row>
    <row r="149" spans="1:6" x14ac:dyDescent="0.25">
      <c r="A149" s="11">
        <v>45990</v>
      </c>
      <c r="B149" s="11" t="s">
        <v>218</v>
      </c>
      <c r="C149" s="12" t="s">
        <v>261</v>
      </c>
      <c r="D149" t="s">
        <v>73</v>
      </c>
      <c r="E149" t="s">
        <v>49</v>
      </c>
      <c r="F149"/>
    </row>
    <row r="150" spans="1:6" x14ac:dyDescent="0.25">
      <c r="A150" s="11">
        <v>45990</v>
      </c>
      <c r="B150" s="11" t="s">
        <v>218</v>
      </c>
      <c r="C150" s="12" t="s">
        <v>262</v>
      </c>
      <c r="D150" t="s">
        <v>73</v>
      </c>
      <c r="E150" t="s">
        <v>49</v>
      </c>
      <c r="F150"/>
    </row>
    <row r="151" spans="1:6" x14ac:dyDescent="0.25">
      <c r="A151" s="11">
        <v>45991</v>
      </c>
      <c r="B151" s="11" t="s">
        <v>218</v>
      </c>
      <c r="C151" s="12" t="s">
        <v>263</v>
      </c>
      <c r="D151" t="s">
        <v>73</v>
      </c>
      <c r="E151" t="s">
        <v>49</v>
      </c>
      <c r="F151"/>
    </row>
    <row r="152" spans="1:6" x14ac:dyDescent="0.25">
      <c r="A152" s="11">
        <v>45991</v>
      </c>
      <c r="B152" s="11" t="s">
        <v>218</v>
      </c>
      <c r="C152" s="12" t="s">
        <v>264</v>
      </c>
      <c r="D152" t="s">
        <v>21</v>
      </c>
      <c r="E152" t="s">
        <v>49</v>
      </c>
      <c r="F152"/>
    </row>
    <row r="153" spans="1:6" x14ac:dyDescent="0.25">
      <c r="A153" s="11">
        <v>45991</v>
      </c>
      <c r="B153" s="11" t="s">
        <v>218</v>
      </c>
      <c r="C153" s="12" t="s">
        <v>265</v>
      </c>
      <c r="D153" t="s">
        <v>73</v>
      </c>
      <c r="E153" t="s">
        <v>49</v>
      </c>
      <c r="F153"/>
    </row>
    <row r="154" spans="1:6" x14ac:dyDescent="0.25">
      <c r="A154" s="11">
        <v>45991</v>
      </c>
      <c r="B154" s="11" t="s">
        <v>218</v>
      </c>
      <c r="C154" s="12" t="s">
        <v>266</v>
      </c>
      <c r="D154" t="s">
        <v>73</v>
      </c>
      <c r="E154" t="s">
        <v>49</v>
      </c>
      <c r="F154"/>
    </row>
    <row r="155" spans="1:6" x14ac:dyDescent="0.25">
      <c r="A155" s="11">
        <v>45991</v>
      </c>
      <c r="B155" s="11" t="s">
        <v>218</v>
      </c>
      <c r="C155" s="12" t="s">
        <v>267</v>
      </c>
      <c r="D155" t="s">
        <v>73</v>
      </c>
      <c r="E155" t="s">
        <v>49</v>
      </c>
      <c r="F155"/>
    </row>
    <row r="156" spans="1:6" x14ac:dyDescent="0.25">
      <c r="A156" s="11">
        <v>45991</v>
      </c>
      <c r="B156" s="11" t="s">
        <v>218</v>
      </c>
      <c r="C156" s="12" t="s">
        <v>268</v>
      </c>
      <c r="D156" t="s">
        <v>73</v>
      </c>
      <c r="E156" t="s">
        <v>64</v>
      </c>
      <c r="F156" t="s">
        <v>309</v>
      </c>
    </row>
    <row r="157" spans="1:6" x14ac:dyDescent="0.25">
      <c r="A157" s="11">
        <v>45991</v>
      </c>
      <c r="B157" s="11" t="s">
        <v>218</v>
      </c>
      <c r="C157" s="12" t="s">
        <v>269</v>
      </c>
      <c r="D157" t="s">
        <v>73</v>
      </c>
      <c r="E157" t="s">
        <v>64</v>
      </c>
      <c r="F157" t="s">
        <v>283</v>
      </c>
    </row>
    <row r="158" spans="1:6" x14ac:dyDescent="0.25">
      <c r="A158" s="11">
        <v>45991</v>
      </c>
      <c r="B158" s="11" t="s">
        <v>218</v>
      </c>
      <c r="C158" s="12" t="s">
        <v>270</v>
      </c>
      <c r="D158" t="s">
        <v>73</v>
      </c>
      <c r="E158" t="s">
        <v>49</v>
      </c>
      <c r="F158"/>
    </row>
    <row r="159" spans="1:6" x14ac:dyDescent="0.25">
      <c r="A159" s="11">
        <v>45991</v>
      </c>
      <c r="B159" s="11" t="s">
        <v>200</v>
      </c>
      <c r="C159" s="12" t="s">
        <v>271</v>
      </c>
      <c r="D159" t="s">
        <v>73</v>
      </c>
      <c r="E159" t="s">
        <v>49</v>
      </c>
      <c r="F159"/>
    </row>
    <row r="160" spans="1:6" x14ac:dyDescent="0.25">
      <c r="A160" s="11">
        <v>45991</v>
      </c>
      <c r="B160" s="11" t="s">
        <v>200</v>
      </c>
      <c r="C160" s="12" t="s">
        <v>272</v>
      </c>
      <c r="D160" t="s">
        <v>73</v>
      </c>
      <c r="E160" t="s">
        <v>49</v>
      </c>
      <c r="F160"/>
    </row>
    <row r="161" spans="1:6" x14ac:dyDescent="0.25">
      <c r="A161" s="11">
        <v>45991</v>
      </c>
      <c r="B161" s="11" t="s">
        <v>200</v>
      </c>
      <c r="C161" s="12" t="s">
        <v>273</v>
      </c>
      <c r="D161" t="s">
        <v>73</v>
      </c>
      <c r="E161" t="s">
        <v>49</v>
      </c>
      <c r="F161"/>
    </row>
    <row r="162" spans="1:6" x14ac:dyDescent="0.25">
      <c r="A162" s="11">
        <v>45991</v>
      </c>
      <c r="B162" s="11" t="s">
        <v>200</v>
      </c>
      <c r="C162" s="12" t="s">
        <v>274</v>
      </c>
      <c r="D162" t="s">
        <v>73</v>
      </c>
      <c r="E162" t="s">
        <v>64</v>
      </c>
      <c r="F162"/>
    </row>
    <row r="163" spans="1:6" x14ac:dyDescent="0.25">
      <c r="A163" s="11">
        <v>45991</v>
      </c>
      <c r="B163" s="11" t="s">
        <v>200</v>
      </c>
      <c r="C163" s="12" t="s">
        <v>275</v>
      </c>
      <c r="D163" t="s">
        <v>73</v>
      </c>
      <c r="E163" t="s">
        <v>49</v>
      </c>
      <c r="F163"/>
    </row>
    <row r="164" spans="1:6" x14ac:dyDescent="0.25">
      <c r="A164" s="11">
        <v>45991</v>
      </c>
      <c r="B164" s="11" t="s">
        <v>200</v>
      </c>
      <c r="C164" s="12" t="s">
        <v>276</v>
      </c>
      <c r="D164" t="s">
        <v>74</v>
      </c>
      <c r="E164" t="s">
        <v>49</v>
      </c>
      <c r="F164"/>
    </row>
    <row r="165" spans="1:6" x14ac:dyDescent="0.25">
      <c r="A165" s="11">
        <v>45991</v>
      </c>
      <c r="B165" s="11" t="s">
        <v>200</v>
      </c>
      <c r="C165" s="12" t="s">
        <v>277</v>
      </c>
      <c r="D165" t="s">
        <v>73</v>
      </c>
      <c r="E165" t="s">
        <v>64</v>
      </c>
      <c r="F165" t="s">
        <v>78</v>
      </c>
    </row>
    <row r="166" spans="1:6" x14ac:dyDescent="0.25">
      <c r="A166" s="11">
        <v>45991</v>
      </c>
      <c r="B166" s="11" t="s">
        <v>200</v>
      </c>
      <c r="C166" s="12" t="s">
        <v>278</v>
      </c>
      <c r="D166" t="s">
        <v>73</v>
      </c>
      <c r="E166" t="s">
        <v>49</v>
      </c>
      <c r="F166"/>
    </row>
    <row r="167" spans="1:6" x14ac:dyDescent="0.25">
      <c r="A167" s="11">
        <v>45991</v>
      </c>
      <c r="B167" s="11" t="s">
        <v>200</v>
      </c>
      <c r="C167" s="12" t="s">
        <v>279</v>
      </c>
      <c r="D167" t="s">
        <v>73</v>
      </c>
      <c r="E167" t="s">
        <v>49</v>
      </c>
      <c r="F167"/>
    </row>
    <row r="168" spans="1:6" x14ac:dyDescent="0.25">
      <c r="A168" s="11">
        <v>45991</v>
      </c>
      <c r="B168" s="11" t="s">
        <v>200</v>
      </c>
      <c r="C168" s="12" t="s">
        <v>280</v>
      </c>
      <c r="D168" t="s">
        <v>73</v>
      </c>
      <c r="E168" t="s">
        <v>49</v>
      </c>
      <c r="F168"/>
    </row>
    <row r="169" spans="1:6" x14ac:dyDescent="0.25">
      <c r="A169" s="11">
        <v>45991</v>
      </c>
      <c r="B169" s="11" t="s">
        <v>200</v>
      </c>
      <c r="C169" s="12" t="s">
        <v>281</v>
      </c>
      <c r="D169" t="s">
        <v>73</v>
      </c>
      <c r="E169" t="s">
        <v>64</v>
      </c>
      <c r="F169" t="s">
        <v>284</v>
      </c>
    </row>
    <row r="170" spans="1:6" x14ac:dyDescent="0.25">
      <c r="A170" s="11">
        <v>45992</v>
      </c>
      <c r="B170" s="11" t="s">
        <v>200</v>
      </c>
      <c r="C170" s="12" t="s">
        <v>291</v>
      </c>
      <c r="D170" t="s">
        <v>73</v>
      </c>
      <c r="E170" t="s">
        <v>49</v>
      </c>
      <c r="F170"/>
    </row>
    <row r="171" spans="1:6" x14ac:dyDescent="0.25">
      <c r="A171" s="11">
        <v>45992</v>
      </c>
      <c r="B171" s="11"/>
      <c r="C171" s="12" t="s">
        <v>292</v>
      </c>
      <c r="D171" t="s">
        <v>73</v>
      </c>
      <c r="E171" t="s">
        <v>49</v>
      </c>
      <c r="F171"/>
    </row>
    <row r="172" spans="1:6" x14ac:dyDescent="0.25">
      <c r="A172" s="11">
        <v>45992</v>
      </c>
      <c r="B172" s="11"/>
      <c r="C172" s="12" t="s">
        <v>293</v>
      </c>
      <c r="D172" t="s">
        <v>73</v>
      </c>
      <c r="E172" t="s">
        <v>49</v>
      </c>
      <c r="F172"/>
    </row>
    <row r="173" spans="1:6" x14ac:dyDescent="0.25">
      <c r="A173" s="11">
        <v>45992</v>
      </c>
      <c r="B173" s="11" t="s">
        <v>133</v>
      </c>
      <c r="C173" s="12" t="s">
        <v>294</v>
      </c>
      <c r="D173" t="s">
        <v>73</v>
      </c>
      <c r="E173" t="s">
        <v>49</v>
      </c>
      <c r="F173"/>
    </row>
    <row r="174" spans="1:6" x14ac:dyDescent="0.25">
      <c r="A174" s="11">
        <v>45992</v>
      </c>
      <c r="B174" s="11" t="s">
        <v>133</v>
      </c>
      <c r="C174" s="12" t="s">
        <v>295</v>
      </c>
      <c r="D174" t="s">
        <v>73</v>
      </c>
      <c r="E174" t="s">
        <v>49</v>
      </c>
      <c r="F174"/>
    </row>
    <row r="175" spans="1:6" x14ac:dyDescent="0.25">
      <c r="A175" s="11">
        <v>45992</v>
      </c>
      <c r="B175" s="11" t="s">
        <v>133</v>
      </c>
      <c r="C175" s="12" t="s">
        <v>296</v>
      </c>
      <c r="D175" t="s">
        <v>73</v>
      </c>
      <c r="E175" t="s">
        <v>49</v>
      </c>
      <c r="F175"/>
    </row>
    <row r="176" spans="1:6" x14ac:dyDescent="0.25">
      <c r="A176" s="11">
        <v>45992</v>
      </c>
      <c r="B176" s="11" t="s">
        <v>133</v>
      </c>
      <c r="C176" s="12" t="s">
        <v>297</v>
      </c>
      <c r="D176" t="s">
        <v>74</v>
      </c>
      <c r="E176" t="s">
        <v>49</v>
      </c>
      <c r="F176"/>
    </row>
    <row r="177" spans="1:6" x14ac:dyDescent="0.25">
      <c r="A177" s="11">
        <v>45992</v>
      </c>
      <c r="B177" s="11" t="s">
        <v>133</v>
      </c>
      <c r="C177" s="12" t="s">
        <v>299</v>
      </c>
      <c r="D177" t="s">
        <v>73</v>
      </c>
      <c r="E177" t="s">
        <v>49</v>
      </c>
      <c r="F177"/>
    </row>
    <row r="178" spans="1:6" x14ac:dyDescent="0.25">
      <c r="A178" s="11">
        <v>45992</v>
      </c>
      <c r="B178" s="11" t="s">
        <v>133</v>
      </c>
      <c r="C178" s="12" t="s">
        <v>300</v>
      </c>
      <c r="D178" t="s">
        <v>73</v>
      </c>
      <c r="E178" t="s">
        <v>49</v>
      </c>
      <c r="F178"/>
    </row>
    <row r="179" spans="1:6" x14ac:dyDescent="0.25">
      <c r="A179" s="11">
        <v>45992</v>
      </c>
      <c r="B179" s="11" t="s">
        <v>133</v>
      </c>
      <c r="C179" s="12" t="s">
        <v>301</v>
      </c>
      <c r="D179" t="s">
        <v>73</v>
      </c>
      <c r="E179" t="s">
        <v>49</v>
      </c>
      <c r="F179"/>
    </row>
    <row r="180" spans="1:6" x14ac:dyDescent="0.25">
      <c r="A180" s="11">
        <v>45992</v>
      </c>
      <c r="B180" s="11" t="s">
        <v>133</v>
      </c>
      <c r="C180" s="12" t="s">
        <v>302</v>
      </c>
      <c r="D180" t="s">
        <v>73</v>
      </c>
      <c r="E180" t="s">
        <v>49</v>
      </c>
      <c r="F180"/>
    </row>
    <row r="181" spans="1:6" x14ac:dyDescent="0.25">
      <c r="A181" s="11">
        <v>45992</v>
      </c>
      <c r="B181" s="11" t="s">
        <v>133</v>
      </c>
      <c r="C181" s="12" t="s">
        <v>303</v>
      </c>
      <c r="D181" t="s">
        <v>73</v>
      </c>
      <c r="E181" t="s">
        <v>49</v>
      </c>
      <c r="F181"/>
    </row>
    <row r="182" spans="1:6" x14ac:dyDescent="0.25">
      <c r="A182" s="11">
        <v>45992</v>
      </c>
      <c r="B182" s="11" t="s">
        <v>133</v>
      </c>
      <c r="C182" s="12" t="s">
        <v>304</v>
      </c>
      <c r="D182" t="s">
        <v>73</v>
      </c>
      <c r="E182" t="s">
        <v>49</v>
      </c>
      <c r="F182"/>
    </row>
    <row r="183" spans="1:6" x14ac:dyDescent="0.25">
      <c r="A183" s="11">
        <v>45992</v>
      </c>
      <c r="B183" s="11" t="s">
        <v>133</v>
      </c>
      <c r="C183" s="12" t="s">
        <v>305</v>
      </c>
      <c r="D183" t="s">
        <v>73</v>
      </c>
      <c r="E183" t="s">
        <v>49</v>
      </c>
      <c r="F183"/>
    </row>
    <row r="184" spans="1:6" x14ac:dyDescent="0.25">
      <c r="A184" s="11">
        <v>45992</v>
      </c>
      <c r="B184" s="11"/>
      <c r="C184" t="s">
        <v>306</v>
      </c>
      <c r="D184" t="s">
        <v>21</v>
      </c>
      <c r="E184" t="s">
        <v>49</v>
      </c>
      <c r="F184"/>
    </row>
    <row r="185" spans="1:6" x14ac:dyDescent="0.25">
      <c r="A185">
        <v>1</v>
      </c>
      <c r="B185" s="11"/>
      <c r="C185"/>
      <c r="D185"/>
      <c r="F185"/>
    </row>
    <row r="186" spans="1:6" x14ac:dyDescent="0.25">
      <c r="A186"/>
      <c r="B186" s="11"/>
      <c r="C186"/>
      <c r="D186"/>
      <c r="F186"/>
    </row>
    <row r="187" spans="1:6" x14ac:dyDescent="0.25">
      <c r="A187"/>
      <c r="B187" s="11"/>
      <c r="C187"/>
      <c r="D187"/>
      <c r="F187"/>
    </row>
    <row r="188" spans="1:6" x14ac:dyDescent="0.25">
      <c r="A188"/>
      <c r="B188" s="11"/>
      <c r="C188"/>
      <c r="D188"/>
      <c r="F188"/>
    </row>
    <row r="189" spans="1:6" x14ac:dyDescent="0.25">
      <c r="A189"/>
      <c r="B189" s="11"/>
      <c r="C189"/>
      <c r="D189"/>
      <c r="F189"/>
    </row>
    <row r="190" spans="1:6" x14ac:dyDescent="0.25">
      <c r="A190"/>
      <c r="B190" s="11"/>
      <c r="C190"/>
      <c r="D190"/>
      <c r="F190"/>
    </row>
    <row r="191" spans="1:6" x14ac:dyDescent="0.25">
      <c r="A191"/>
      <c r="B191" s="11"/>
      <c r="C191"/>
      <c r="D191"/>
      <c r="F191"/>
    </row>
    <row r="192" spans="1:6" x14ac:dyDescent="0.25">
      <c r="A192"/>
      <c r="B192" s="11"/>
      <c r="C192"/>
      <c r="D192"/>
      <c r="F192"/>
    </row>
    <row r="193" spans="1:6" x14ac:dyDescent="0.25">
      <c r="A193"/>
      <c r="B193" s="11"/>
      <c r="C193"/>
      <c r="D193"/>
      <c r="F193"/>
    </row>
    <row r="194" spans="1:6" x14ac:dyDescent="0.25">
      <c r="E194" s="2"/>
    </row>
    <row r="195" spans="1:6" x14ac:dyDescent="0.25">
      <c r="E195" s="2"/>
    </row>
    <row r="196" spans="1:6" x14ac:dyDescent="0.25">
      <c r="E196" s="2"/>
    </row>
    <row r="197" spans="1:6" x14ac:dyDescent="0.25">
      <c r="E197" s="2"/>
    </row>
    <row r="198" spans="1:6" x14ac:dyDescent="0.25">
      <c r="E198" s="2"/>
    </row>
    <row r="199" spans="1:6" x14ac:dyDescent="0.25">
      <c r="E199" s="2"/>
    </row>
    <row r="200" spans="1:6" x14ac:dyDescent="0.25">
      <c r="E200" s="2"/>
    </row>
    <row r="201" spans="1:6" x14ac:dyDescent="0.25">
      <c r="E201" s="2"/>
    </row>
    <row r="202" spans="1:6" x14ac:dyDescent="0.25">
      <c r="E202" s="2"/>
    </row>
    <row r="203" spans="1:6" x14ac:dyDescent="0.25">
      <c r="E203" s="2"/>
    </row>
    <row r="204" spans="1:6" x14ac:dyDescent="0.25">
      <c r="E204" s="2"/>
    </row>
    <row r="205" spans="1:6" x14ac:dyDescent="0.25">
      <c r="E205" s="2"/>
    </row>
    <row r="206" spans="1:6" x14ac:dyDescent="0.25">
      <c r="E206" s="2"/>
    </row>
    <row r="207" spans="1:6" x14ac:dyDescent="0.25">
      <c r="E207" s="2"/>
    </row>
    <row r="208" spans="1:6" x14ac:dyDescent="0.25">
      <c r="E208" s="2"/>
    </row>
    <row r="209" spans="5:5" x14ac:dyDescent="0.25">
      <c r="E209" s="2"/>
    </row>
    <row r="210" spans="5:5" x14ac:dyDescent="0.25">
      <c r="E210" s="2"/>
    </row>
    <row r="211" spans="5:5" x14ac:dyDescent="0.25">
      <c r="E211" s="2"/>
    </row>
    <row r="212" spans="5:5" x14ac:dyDescent="0.25">
      <c r="E212" s="2"/>
    </row>
    <row r="213" spans="5:5" x14ac:dyDescent="0.25">
      <c r="E213" s="2"/>
    </row>
    <row r="214" spans="5:5" x14ac:dyDescent="0.25">
      <c r="E214" s="2"/>
    </row>
    <row r="215" spans="5:5" x14ac:dyDescent="0.25">
      <c r="E215" s="2"/>
    </row>
    <row r="216" spans="5:5" x14ac:dyDescent="0.25">
      <c r="E216" s="2"/>
    </row>
    <row r="217" spans="5:5" x14ac:dyDescent="0.25">
      <c r="E217" s="2"/>
    </row>
    <row r="218" spans="5:5" x14ac:dyDescent="0.25">
      <c r="E218" s="2"/>
    </row>
    <row r="219" spans="5:5" x14ac:dyDescent="0.25">
      <c r="E219" s="2"/>
    </row>
    <row r="220" spans="5:5" x14ac:dyDescent="0.25">
      <c r="E220" s="2"/>
    </row>
    <row r="221" spans="5:5" x14ac:dyDescent="0.25">
      <c r="E221" s="2"/>
    </row>
    <row r="222" spans="5:5" x14ac:dyDescent="0.25">
      <c r="E222" s="2"/>
    </row>
    <row r="223" spans="5:5" x14ac:dyDescent="0.25">
      <c r="E223" s="2"/>
    </row>
    <row r="224" spans="5:5" x14ac:dyDescent="0.25">
      <c r="E224" s="2"/>
    </row>
    <row r="225" spans="5:5" x14ac:dyDescent="0.25">
      <c r="E225" s="2"/>
    </row>
    <row r="226" spans="5:5" x14ac:dyDescent="0.25">
      <c r="E226" s="2"/>
    </row>
    <row r="227" spans="5:5" x14ac:dyDescent="0.25">
      <c r="E227" s="2"/>
    </row>
    <row r="228" spans="5:5" x14ac:dyDescent="0.25">
      <c r="E228" s="2"/>
    </row>
    <row r="229" spans="5:5" x14ac:dyDescent="0.25">
      <c r="E229" s="2"/>
    </row>
    <row r="230" spans="5:5" x14ac:dyDescent="0.25">
      <c r="E230" s="2"/>
    </row>
    <row r="231" spans="5:5" x14ac:dyDescent="0.25">
      <c r="E231" s="2"/>
    </row>
  </sheetData>
  <phoneticPr fontId="5" type="noConversion"/>
  <hyperlinks>
    <hyperlink ref="C2" r:id="rId1" xr:uid="{6A32657D-6BB6-4F23-9EA6-594C6913C80A}"/>
    <hyperlink ref="C3" r:id="rId2" xr:uid="{4D54526D-6173-4D8B-9BE8-71770B611439}"/>
    <hyperlink ref="C4" r:id="rId3" xr:uid="{51FB03AC-B9B4-48E1-BE18-D11E87AE651B}"/>
    <hyperlink ref="C5" r:id="rId4" xr:uid="{9D3AB09F-9450-4444-A982-1A6A9A755A7A}"/>
    <hyperlink ref="C6" r:id="rId5" xr:uid="{87FDFDA9-9482-404A-A7D1-134608003A11}"/>
    <hyperlink ref="C7" r:id="rId6" xr:uid="{0D75A3A4-6A66-472B-8668-992A95B64658}"/>
    <hyperlink ref="C12" r:id="rId7" xr:uid="{57D0256B-DDE3-414D-B287-8D0D264D73AB}"/>
    <hyperlink ref="C14" r:id="rId8" xr:uid="{4F3A8169-A367-4CE7-BCEF-B51053B4B638}"/>
    <hyperlink ref="C15" r:id="rId9" xr:uid="{20841E0E-98CD-4040-AAA7-8804CDD47C48}"/>
    <hyperlink ref="C16" r:id="rId10" xr:uid="{C9A6B4A8-09A3-4BF8-B0F2-E3F18896F0DE}"/>
    <hyperlink ref="C17" r:id="rId11" xr:uid="{1818EB95-1023-4EAB-B87A-6C564C26358D}"/>
    <hyperlink ref="C20" r:id="rId12" xr:uid="{F7083863-7447-4D04-80F5-2CA183BF84B0}"/>
    <hyperlink ref="D21" r:id="rId13" display="HelloWork" xr:uid="{487F94F2-DE0C-48BB-B3B4-5FC161EDBF27}"/>
    <hyperlink ref="C21" r:id="rId14" xr:uid="{6511D6FC-B25B-4EBE-BB33-372BDB66F7F7}"/>
    <hyperlink ref="D22" r:id="rId15" xr:uid="{0DFA5E6A-7B7F-493C-A775-EE92556010EF}"/>
    <hyperlink ref="C23" r:id="rId16" xr:uid="{A6DD736B-7345-4F16-9658-31D0A9C462FB}"/>
    <hyperlink ref="D23" r:id="rId17" display="Spontanée + HW" xr:uid="{DFEC064B-20EB-447B-8693-3AB4160879AC}"/>
    <hyperlink ref="C24" r:id="rId18" xr:uid="{0C4F4278-0D25-4819-B9F5-6601145B2EAA}"/>
    <hyperlink ref="D24" r:id="rId19" xr:uid="{CF33B343-8CDF-4189-95A1-BD9C0582DFB5}"/>
    <hyperlink ref="D25" r:id="rId20" display="HelloWork" xr:uid="{68307A2D-FC89-4FC2-8120-CF46FF0DBF8A}"/>
    <hyperlink ref="C25" r:id="rId21" display="Ministère de l'action " xr:uid="{437E9418-6027-48F9-A761-FFF8C8BEF826}"/>
    <hyperlink ref="D27" r:id="rId22" xr:uid="{42376AFA-8B06-45BB-92D7-B92B67E30912}"/>
    <hyperlink ref="D28" r:id="rId23" xr:uid="{53C5BDE0-A574-477F-AA3A-A5B6A288851A}"/>
    <hyperlink ref="C29" r:id="rId24" display="https://www.linkedin.com/company/julbo/life" xr:uid="{691D21F9-0199-44C5-BD72-D0873EB66FC1}"/>
    <hyperlink ref="D30" r:id="rId25" xr:uid="{BDC22D13-E049-440C-8B57-692E31EA9F44}"/>
    <hyperlink ref="F2" r:id="rId26" xr:uid="{2A049540-F51D-4019-88E9-C090C19FF7A2}"/>
    <hyperlink ref="F5" r:id="rId27" xr:uid="{7344E5C2-700B-448F-B6C8-AF49F30B15CF}"/>
    <hyperlink ref="F32" r:id="rId28" xr:uid="{0AAE1A29-FE7E-4154-BF62-0C68741FD85E}"/>
    <hyperlink ref="C37" r:id="rId29" xr:uid="{F8C9AA2B-D2B0-4184-8E69-65F157E5036D}"/>
    <hyperlink ref="Q2" r:id="rId30" xr:uid="{3652E342-0060-48CB-9502-6FC5F93F2245}"/>
    <hyperlink ref="Q5" r:id="rId31" xr:uid="{C96159D5-7D5F-425D-B3A4-1BFFA9878756}"/>
    <hyperlink ref="Q6" r:id="rId32" xr:uid="{F02C427A-9F9A-4D50-8C6B-B8BF9A14EC1B}"/>
    <hyperlink ref="C38" r:id="rId33" xr:uid="{66ADA9A7-8FCF-4B65-990B-5921B6B032F2}"/>
    <hyperlink ref="C39" r:id="rId34" xr:uid="{3C5943A7-B3B1-485B-92EE-45382823F618}"/>
    <hyperlink ref="C26" r:id="rId35" xr:uid="{DE711D09-BDE5-4D98-952B-911C300D1E2C}"/>
    <hyperlink ref="C41" r:id="rId36" xr:uid="{0B7203D9-B7BF-421C-BE6C-388F0888646E}"/>
    <hyperlink ref="C42" r:id="rId37" xr:uid="{73DB9CFA-6EF8-44A3-8D9F-C5422D806146}"/>
    <hyperlink ref="C43" r:id="rId38" xr:uid="{59A7102A-6E56-4805-941B-5F8C8C8C1F0F}"/>
    <hyperlink ref="C45" r:id="rId39" xr:uid="{F6853300-1F47-4A33-B528-E4C1D8B06A07}"/>
    <hyperlink ref="C46" r:id="rId40" xr:uid="{924873A6-D894-47D8-8FCE-DF90B0E23197}"/>
    <hyperlink ref="C52" r:id="rId41" xr:uid="{8843FBBC-0806-48AD-9551-AE99A9056FA5}"/>
    <hyperlink ref="C54" r:id="rId42" xr:uid="{E3E580C5-13A8-4C4B-B2F3-476B4FC6F2D9}"/>
    <hyperlink ref="C55" r:id="rId43" xr:uid="{3634998E-DB2C-4BBC-B165-034CB0FFAB79}"/>
    <hyperlink ref="C56" r:id="rId44" xr:uid="{4329ED55-8034-43B3-983B-B57A3645B2AE}"/>
    <hyperlink ref="C57" r:id="rId45" xr:uid="{D413AF1A-ED1A-4098-87EF-CCA6055AD6BD}"/>
    <hyperlink ref="C58" r:id="rId46" xr:uid="{5AEB3984-2C85-4F1D-B9F4-1837D80551E1}"/>
    <hyperlink ref="C59" r:id="rId47" xr:uid="{A987F375-6B52-47A8-88FC-4A778DC0B535}"/>
    <hyperlink ref="C60" r:id="rId48" xr:uid="{170FE595-CB68-4DA7-A217-F147ECDB75B6}"/>
    <hyperlink ref="C61" r:id="rId49" xr:uid="{7E42365E-39EE-4C59-AFF5-BC70AE57E545}"/>
    <hyperlink ref="D62" r:id="rId50" xr:uid="{83586C2C-5B93-4051-A44E-05285F2C3038}"/>
    <hyperlink ref="D63" r:id="rId51" xr:uid="{96C8C929-39BE-4CD7-8FF3-5FB7E13ED5C5}"/>
    <hyperlink ref="D64" r:id="rId52" xr:uid="{53771C44-BEBE-4904-9F47-477E0225C0B9}"/>
    <hyperlink ref="C65" r:id="rId53" xr:uid="{44B1067E-FD23-4F6A-9E9B-5E2F243CD9B0}"/>
    <hyperlink ref="C66" r:id="rId54" xr:uid="{6F99524A-A561-43ED-A3E5-D3E0AC6D8C96}"/>
    <hyperlink ref="D67" r:id="rId55" xr:uid="{70628FF9-7F95-41E9-8FEB-CF27CBEF9E83}"/>
    <hyperlink ref="C69" r:id="rId56" xr:uid="{0B5DA5EF-21EC-4479-9ADD-F6D5C47FC7E4}"/>
    <hyperlink ref="C70" r:id="rId57" xr:uid="{5394CD50-9F1A-49CF-B783-0EEBF1961CBE}"/>
    <hyperlink ref="C71" r:id="rId58" xr:uid="{679D3733-DFBE-45EA-907E-302FD623EC85}"/>
    <hyperlink ref="C72" r:id="rId59" xr:uid="{C6B1BF60-6DD4-4937-8261-0FD98A92470F}"/>
    <hyperlink ref="C73" r:id="rId60" xr:uid="{B5328A33-5BA1-4821-97D2-74C041E0753F}"/>
    <hyperlink ref="C74" r:id="rId61" xr:uid="{621C8A3D-D4CB-4215-9CFF-08EB5E845251}"/>
    <hyperlink ref="C75" r:id="rId62" xr:uid="{CB80F175-99FB-442D-AFD1-4885AB82581B}"/>
    <hyperlink ref="C76" r:id="rId63" location="FormulaireCandidatures" xr:uid="{4DF26BC8-426F-4DD4-B8CD-934BA06DBCF0}"/>
    <hyperlink ref="C77" r:id="rId64" xr:uid="{B6ABE05D-EFFC-446D-A0F4-E9AB5E09DFA6}"/>
    <hyperlink ref="C78" r:id="rId65" xr:uid="{154A0016-8A9B-497A-8F7D-0CC464945F13}"/>
    <hyperlink ref="C79" r:id="rId66" xr:uid="{D3D34BB1-DACA-4B37-BDA0-06B94A0D0BBB}"/>
    <hyperlink ref="C80" r:id="rId67" xr:uid="{9D92D234-06D9-4B59-B5DC-DD8980D001C5}"/>
    <hyperlink ref="C81" r:id="rId68" xr:uid="{E73DA9E3-B37E-4CEB-B835-3A3F0A8E8A6D}"/>
    <hyperlink ref="C82" r:id="rId69" xr:uid="{4399DC84-D1CA-4102-B5F9-F645B7F6D8FC}"/>
    <hyperlink ref="C83" r:id="rId70" xr:uid="{DF69F2C3-639B-476D-9174-9556C5668D07}"/>
    <hyperlink ref="C84" r:id="rId71" xr:uid="{4238091F-EB26-43E0-9ABF-0E3F8863BA7F}"/>
    <hyperlink ref="C85" r:id="rId72" xr:uid="{8A72CBCE-BB0D-47CB-B140-E76EEA77F10E}"/>
    <hyperlink ref="C86" r:id="rId73" xr:uid="{39063631-3944-4BF1-BBA7-D14598A1EAFB}"/>
    <hyperlink ref="C87" r:id="rId74" xr:uid="{9BBC1931-0BBD-4428-90B3-5180A8B92368}"/>
    <hyperlink ref="C88" r:id="rId75" xr:uid="{FE091F38-7793-4766-B529-0146139C8B94}"/>
    <hyperlink ref="C89" r:id="rId76" xr:uid="{08B02EAE-7AC1-47CC-B39E-6DC084C805DE}"/>
    <hyperlink ref="C90" r:id="rId77" xr:uid="{23312613-4652-417C-B292-32A6A3BBEDCE}"/>
    <hyperlink ref="C91" r:id="rId78" display="Serfim" xr:uid="{4EACCA4E-2BC3-4897-93F2-FA9020465294}"/>
    <hyperlink ref="C92" r:id="rId79" xr:uid="{28AC1895-434F-4916-A33F-89B75E7DE467}"/>
    <hyperlink ref="C93" r:id="rId80" xr:uid="{BF54EA2E-B8B4-4A73-BAAC-A7F986D24E40}"/>
    <hyperlink ref="C94" r:id="rId81" xr:uid="{C1A14772-DB2C-4CC1-B395-1CDFA96D128E}"/>
    <hyperlink ref="C95" r:id="rId82" xr:uid="{C0CCB86A-EF4B-4B29-BAC9-53D4AC50EFE9}"/>
    <hyperlink ref="C96" r:id="rId83" xr:uid="{21B883D2-2706-4C88-BEA6-F14931DD5494}"/>
    <hyperlink ref="C97" r:id="rId84" xr:uid="{50D0F31C-980F-438F-A68A-F794A7349D81}"/>
    <hyperlink ref="C98" r:id="rId85" xr:uid="{D4417433-CB69-47CA-B7DB-F575D5FC86E3}"/>
    <hyperlink ref="D99" r:id="rId86" xr:uid="{EE8A81DF-994A-4F54-98F2-DB8486E6F5B0}"/>
    <hyperlink ref="D100" r:id="rId87" xr:uid="{23BF2245-6237-439C-84E3-C8A5402EBE85}"/>
    <hyperlink ref="C101" r:id="rId88" location="form_contact" xr:uid="{43409303-E265-4A62-B270-765E0BD77F30}"/>
    <hyperlink ref="C102" r:id="rId89" xr:uid="{98646843-7FF2-4C26-9E4D-625CB20723A1}"/>
    <hyperlink ref="C103" r:id="rId90" xr:uid="{1216A244-DF5A-4B82-BA18-4A1A32ECF547}"/>
    <hyperlink ref="C104" r:id="rId91" location="spontaneous" xr:uid="{E10EE7FD-B1B2-4AF7-B249-4CACA44DF445}"/>
    <hyperlink ref="C105" r:id="rId92" xr:uid="{770548FA-3943-447A-BBFF-F32C6A8243C2}"/>
    <hyperlink ref="C106" r:id="rId93" xr:uid="{FB2958AD-D55E-4B40-AC7C-DBB22F62F3FD}"/>
    <hyperlink ref="C108" r:id="rId94" xr:uid="{77BCF65A-BFB1-47B6-9F51-CFB6F171CB3A}"/>
    <hyperlink ref="C107" r:id="rId95" xr:uid="{7F198209-8F13-47C8-BE15-9EE957F30D78}"/>
    <hyperlink ref="C109" r:id="rId96" xr:uid="{CA6214A6-A324-4CFF-BA8C-49AD8F5E0C65}"/>
    <hyperlink ref="C110" r:id="rId97" xr:uid="{16D7301A-1DAD-415C-85DA-81F1F5C56A32}"/>
    <hyperlink ref="C111" r:id="rId98" xr:uid="{83FEBDF3-4104-497C-B017-9B398796D67F}"/>
    <hyperlink ref="C112" r:id="rId99" display="Euronet" xr:uid="{C9EC7654-A96F-47D5-8FAC-41B504E6791E}"/>
    <hyperlink ref="C113" r:id="rId100" xr:uid="{BC9769C9-50DC-4BEC-8D7C-8D373F202C6D}"/>
    <hyperlink ref="C114" r:id="rId101" xr:uid="{66DB2322-96E7-4EE9-8CB9-D9FE86D835B9}"/>
    <hyperlink ref="C115" r:id="rId102" xr:uid="{1D30114C-904B-46B0-9FF0-F79A60C355F7}"/>
    <hyperlink ref="C116" r:id="rId103" xr:uid="{03609F32-6E3C-4FAF-AB22-A6829886BFEF}"/>
    <hyperlink ref="C117" r:id="rId104" xr:uid="{BAF8BAD3-DABB-455E-9353-1C67148633B1}"/>
    <hyperlink ref="C118" r:id="rId105" xr:uid="{E23FF664-FC33-469C-BD30-E2798B9D80B9}"/>
    <hyperlink ref="C120" r:id="rId106" xr:uid="{324190AE-CDA7-4D34-BEB2-E67E2ED61106}"/>
    <hyperlink ref="C121" r:id="rId107" xr:uid="{EAE91901-1285-4DC6-8887-5113037C6577}"/>
    <hyperlink ref="C122" r:id="rId108" xr:uid="{035CEDC0-A54A-422B-BB18-5574900A5078}"/>
    <hyperlink ref="C123" r:id="rId109" xr:uid="{EAAAF8F5-8354-4184-9D2A-91EB866AC0CB}"/>
    <hyperlink ref="C124" r:id="rId110" xr:uid="{7DD2D005-8AD5-45BF-B177-338C2FC68DEE}"/>
    <hyperlink ref="C125" r:id="rId111" xr:uid="{21C3DA1B-D343-480A-B67B-98A657B3AD0B}"/>
    <hyperlink ref="C126" r:id="rId112" xr:uid="{FE8F4235-BEAA-4562-9AE7-4346F5337070}"/>
    <hyperlink ref="C127" r:id="rId113" xr:uid="{6C0F09D5-67F7-4ADC-9CF9-E292D650141A}"/>
    <hyperlink ref="C128" r:id="rId114" xr:uid="{DCC6F7A8-AA02-49FB-AB45-35A70807A607}"/>
    <hyperlink ref="C129" r:id="rId115" xr:uid="{848A0ADC-1807-494B-BF67-D6A5659027F9}"/>
    <hyperlink ref="C130" r:id="rId116" xr:uid="{26CED3E4-50C2-40C5-A9FF-0E8ECE298374}"/>
    <hyperlink ref="C131" r:id="rId117" xr:uid="{357EB042-9E8C-4381-B9E7-E5F30B7C247A}"/>
    <hyperlink ref="C132" r:id="rId118" display="Idal" xr:uid="{8590769B-EC8C-4392-9FA2-FFE6F2C861B4}"/>
    <hyperlink ref="C133" r:id="rId119" xr:uid="{AFACCF39-9348-4012-BBC3-F837203D2904}"/>
    <hyperlink ref="C134" r:id="rId120" xr:uid="{CB9EFB00-6CDD-4CE6-9F54-47E193C87E1E}"/>
    <hyperlink ref="C135" r:id="rId121" xr:uid="{3B4E3131-E08E-4378-9468-116BA5F90A6A}"/>
    <hyperlink ref="C136" r:id="rId122" xr:uid="{21D87A5F-410F-412F-B934-204C30B43CFE}"/>
    <hyperlink ref="C137" r:id="rId123" xr:uid="{6317271F-93F5-4BE2-8F3E-28944736E26C}"/>
    <hyperlink ref="C138" r:id="rId124" xr:uid="{483F5891-406B-4F43-8197-08DC086810B8}"/>
    <hyperlink ref="C139" r:id="rId125" xr:uid="{07412C24-694B-4018-BC58-A3397B550442}"/>
    <hyperlink ref="C140" r:id="rId126" location="page-search---index" xr:uid="{A660C2C5-B418-4175-98C7-CC6F03111411}"/>
    <hyperlink ref="C142" r:id="rId127" xr:uid="{7154831C-7BA2-4407-AF72-782035038785}"/>
    <hyperlink ref="C141" r:id="rId128" xr:uid="{3807FDDB-C95D-494D-BD60-EA6174E4880C}"/>
    <hyperlink ref="C143" r:id="rId129" xr:uid="{77068DC6-2B19-4C11-888C-ABAE08A01FB8}"/>
    <hyperlink ref="C144" r:id="rId130" xr:uid="{8D0F5F65-5985-4321-82CE-03F5C1CA7084}"/>
    <hyperlink ref="C145" r:id="rId131" xr:uid="{6A07BB91-4B9D-4125-881D-1BE74FA1F40B}"/>
    <hyperlink ref="C146" r:id="rId132" xr:uid="{CA556156-D695-43E5-9012-D8B503DE47F2}"/>
    <hyperlink ref="C147" r:id="rId133" xr:uid="{42D5A8CB-233B-493D-B2B3-5FF0EFC87D01}"/>
    <hyperlink ref="C148" r:id="rId134" xr:uid="{30FCB0D6-14C1-47FC-9E32-1D0D8BE6A313}"/>
    <hyperlink ref="C149" r:id="rId135" xr:uid="{47C10501-D43A-4943-AA19-E1C33147FB56}"/>
    <hyperlink ref="C150" r:id="rId136" xr:uid="{DDB0DF47-7E37-4013-A4F6-910FA2FF9E07}"/>
    <hyperlink ref="C151" r:id="rId137" xr:uid="{86FF1DFF-AAB0-49D3-9F58-9FD6DF7353DA}"/>
    <hyperlink ref="C152" r:id="rId138" xr:uid="{17D5729E-DC76-4C8E-9D99-30D1B0EBFA26}"/>
    <hyperlink ref="C153" r:id="rId139" xr:uid="{03867E08-319F-4CC1-8F11-2660C0157232}"/>
    <hyperlink ref="C154" r:id="rId140" xr:uid="{D799BECA-9F1B-42C3-8667-F2F38FDEE84C}"/>
    <hyperlink ref="C155" r:id="rId141" xr:uid="{D5E0547D-B4AE-42AB-9586-BDBCD58A30D8}"/>
    <hyperlink ref="C156" r:id="rId142" xr:uid="{15A0519C-78EC-48A6-97A9-602C3FE74E5C}"/>
    <hyperlink ref="C157" r:id="rId143" xr:uid="{B80D6F47-68E8-4791-B6E6-FD26ABA429B3}"/>
    <hyperlink ref="C158" r:id="rId144" xr:uid="{21CE9372-F660-4AC9-A99E-3054C60F76A5}"/>
    <hyperlink ref="C159" r:id="rId145" xr:uid="{09A1950C-39EA-4284-851C-84BBBC4B79BC}"/>
    <hyperlink ref="C160" r:id="rId146" xr:uid="{71563B09-0E13-4868-B7F7-764C9909C180}"/>
    <hyperlink ref="C161" r:id="rId147" xr:uid="{043D483D-33CB-45C2-9B68-E5D1754EF384}"/>
    <hyperlink ref="C162" r:id="rId148" xr:uid="{D26177F0-C69F-4177-9B01-450DCFFFD0AD}"/>
    <hyperlink ref="C163" r:id="rId149" xr:uid="{F2548C39-8E08-4D26-A1A7-0F8784576619}"/>
    <hyperlink ref="C164" r:id="rId150" xr:uid="{A06DE8B3-5937-4F13-9C46-B48BFA7E9ADA}"/>
    <hyperlink ref="C165" r:id="rId151" xr:uid="{73DBEA7D-8610-4130-B823-AC3D8BB08F5F}"/>
    <hyperlink ref="C166" r:id="rId152" xr:uid="{B7C89BF1-783E-48E8-9BE5-37228FB7FDF8}"/>
    <hyperlink ref="C167" r:id="rId153" xr:uid="{56CC3D59-4683-44A4-9805-0D654901FFAD}"/>
    <hyperlink ref="C168" r:id="rId154" xr:uid="{2F919F1A-783D-4E8E-ABB6-C2CACB2169EF}"/>
    <hyperlink ref="C169" r:id="rId155" xr:uid="{AD3F21F5-832E-4D58-B265-EC9D786712FE}"/>
    <hyperlink ref="C170" r:id="rId156" xr:uid="{326055D5-9040-47BB-A785-9F15B56A0982}"/>
    <hyperlink ref="C171" r:id="rId157" location="ancrecontenu" xr:uid="{92EEB7CD-A7A2-47F2-929D-8FF2AAB12D08}"/>
    <hyperlink ref="C172" r:id="rId158" xr:uid="{F5302BFE-2E58-42FE-B1E0-0F96AE1665A3}"/>
    <hyperlink ref="C173" r:id="rId159" xr:uid="{08A23068-5F5F-4E67-9112-3AE48ABBA55F}"/>
    <hyperlink ref="C174" r:id="rId160" xr:uid="{63CCCDBD-6BF0-4F69-9C0A-2358E34A6A22}"/>
    <hyperlink ref="C175" r:id="rId161" xr:uid="{5927E5C9-8DD8-476B-9311-221834C531EB}"/>
    <hyperlink ref="C176" r:id="rId162" xr:uid="{2BEBB4FE-3C0E-49D8-9F28-D6409FE1D55F}"/>
    <hyperlink ref="C177" r:id="rId163" xr:uid="{0E173854-92C2-4DDD-BBBD-92147BAFD97B}"/>
    <hyperlink ref="C178" r:id="rId164" xr:uid="{1E1634DE-38D3-4848-9523-661B654C7484}"/>
    <hyperlink ref="C179" r:id="rId165" xr:uid="{ABC4E802-8B78-4D6C-91B0-BB470C5B39DF}"/>
    <hyperlink ref="C180" r:id="rId166" xr:uid="{FBEDD04B-B81F-41F9-A626-2576559B20D8}"/>
    <hyperlink ref="C181" r:id="rId167" xr:uid="{571F6A5B-6D50-4E85-BF4A-D44F6414319F}"/>
    <hyperlink ref="C182" r:id="rId168" xr:uid="{26FC925A-A5B9-45E7-BF7A-2EAB58CDE7F7}"/>
    <hyperlink ref="C183" r:id="rId169" xr:uid="{0A51BE09-1A27-49D9-B0C0-72B6A9234A68}"/>
  </hyperlinks>
  <pageMargins left="0.7" right="0.7" top="0.75" bottom="0.75" header="0.3" footer="0.3"/>
  <drawing r:id="rId170"/>
  <tableParts count="3">
    <tablePart r:id="rId171"/>
    <tablePart r:id="rId172"/>
    <tablePart r:id="rId17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FC20B2ED-63F4-42D3-9557-321A5B294A40}">
            <xm:f>NOT(ISERROR(SEARCH(Feuil3!$B$12,D1)))</xm:f>
            <xm:f>Feuil3!$B$12</xm:f>
            <x14:dxf>
              <font>
                <color rgb="FFFFC000"/>
              </font>
            </x14:dxf>
          </x14:cfRule>
          <xm:sqref>D1:D193</xm:sqref>
        </x14:conditionalFormatting>
        <x14:conditionalFormatting xmlns:xm="http://schemas.microsoft.com/office/excel/2006/main">
          <x14:cfRule type="containsText" priority="7" operator="containsText" id="{2EFE4656-1B4C-422B-AD96-F3279C7F0D1B}">
            <xm:f>NOT(ISERROR(SEARCH(Feuil3!$A$6,E1)))</xm:f>
            <xm:f>Feuil3!$A$6</xm:f>
            <x14:dxf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16788982-0E41-402E-A827-CA34D2D4E383}">
            <xm:f>NOT(ISERROR(SEARCH(Feuil3!$A$5,E1)))</xm:f>
            <xm:f>Feuil3!$A$5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1" operator="containsText" id="{8C7B4BCA-2065-4744-B7C9-7E9D70F1866E}">
            <xm:f>NOT(ISERROR(SEARCH(Feuil3!$A$3,E1)))</xm:f>
            <xm:f>Feuil3!$A$3</xm:f>
            <x14:dxf>
              <fill>
                <patternFill>
                  <bgColor rgb="FFFFC000"/>
                </patternFill>
              </fill>
            </x14:dxf>
          </x14:cfRule>
          <x14:cfRule type="containsText" priority="13" operator="containsText" id="{3F2FBA10-2A19-46FF-AE21-A8ECAEE92BF0}">
            <xm:f>NOT(ISERROR(SEARCH(Feuil3!$A$4,E1)))</xm:f>
            <xm:f>Feuil3!$A$4</xm:f>
            <x14:dxf>
              <fill>
                <patternFill>
                  <bgColor rgb="FFFF0000"/>
                </patternFill>
              </fill>
            </x14:dxf>
          </x14:cfRule>
          <xm:sqref>E1:E193</xm:sqref>
        </x14:conditionalFormatting>
        <x14:conditionalFormatting xmlns:xm="http://schemas.microsoft.com/office/excel/2006/main">
          <x14:cfRule type="containsText" priority="8" operator="containsText" id="{C717AC64-F3D4-4079-AAEF-ADDFD35A84EA}">
            <xm:f>NOT(ISERROR(SEARCH(Feuil3!$A$6,F12)))</xm:f>
            <xm:f>Feuil3!$A$6</xm:f>
            <x14:dxf>
              <fill>
                <patternFill>
                  <bgColor rgb="FFFFFF00"/>
                </patternFill>
              </fill>
            </x14:dxf>
          </x14:cfRule>
          <xm:sqref>F12</xm:sqref>
        </x14:conditionalFormatting>
        <x14:conditionalFormatting xmlns:xm="http://schemas.microsoft.com/office/excel/2006/main">
          <x14:cfRule type="containsText" priority="1" operator="containsText" id="{441F31E4-163F-495D-B299-4E8AD9B15B67}">
            <xm:f>NOT(ISERROR(SEARCH(Feuil3!$A$4,S1)))</xm:f>
            <xm:f>Feuil3!$A$4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44BDC4B1-08BE-4048-8EC5-8D269316F524}">
            <xm:f>NOT(ISERROR(SEARCH(Feuil3!$A$3,S1)))</xm:f>
            <xm:f>Feuil3!$A$3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id="{44A4F5B2-EDCD-43F9-AA35-352E02395155}">
            <xm:f>NOT(ISERROR(SEARCH(Feuil3!$A$2,S1)))</xm:f>
            <xm:f>Feuil3!$A$2</xm:f>
            <x14:dxf>
              <font>
                <color auto="1"/>
              </font>
              <fill>
                <patternFill>
                  <bgColor theme="9" tint="0.59996337778862885"/>
                </patternFill>
              </fill>
            </x14:dxf>
          </x14:cfRule>
          <xm:sqref>S1:S12</xm:sqref>
        </x14:conditionalFormatting>
        <x14:conditionalFormatting xmlns:xm="http://schemas.microsoft.com/office/excel/2006/main">
          <x14:cfRule type="containsText" priority="4" operator="containsText" id="{93AADE61-4FDB-428F-8878-539A5B6BCC73}">
            <xm:f>NOT(ISERROR(SEARCH(Feuil3!$A$4,S23)))</xm:f>
            <xm:f>Feuil3!$A$4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5" operator="containsText" id="{F8AF7AF4-1F05-4047-831A-9B83B81DEAAF}">
            <xm:f>NOT(ISERROR(SEARCH(Feuil3!$A$3,S23)))</xm:f>
            <xm:f>Feuil3!$A$3</xm:f>
            <x14:dxf>
              <fill>
                <patternFill>
                  <bgColor rgb="FFFFC000"/>
                </patternFill>
              </fill>
            </x14:dxf>
          </x14:cfRule>
          <x14:cfRule type="containsText" priority="6" operator="containsText" id="{FF488283-B350-42AA-8331-F2B1881A70E9}">
            <xm:f>NOT(ISERROR(SEARCH(Feuil3!$A$2,S23)))</xm:f>
            <xm:f>Feuil3!$A$2</xm:f>
            <x14:dxf>
              <font>
                <color auto="1"/>
              </font>
              <fill>
                <patternFill>
                  <bgColor theme="9" tint="0.59996337778862885"/>
                </patternFill>
              </fill>
            </x14:dxf>
          </x14:cfRule>
          <xm:sqref>S23:S34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62C215-5EAE-49C6-ACB6-C9DA19E0C4A8}">
          <x14:formula1>
            <xm:f>Feuil3!$B$2:$B$13</xm:f>
          </x14:formula1>
          <xm:sqref>D1</xm:sqref>
        </x14:dataValidation>
        <x14:dataValidation type="list" allowBlank="1" showInputMessage="1" showErrorMessage="1" xr:uid="{ADCFB15A-0FBF-4466-B20A-39F61771F7E6}">
          <x14:formula1>
            <xm:f>Feuil3!$A$2:$A$6</xm:f>
          </x14:formula1>
          <xm:sqref>E1:E193</xm:sqref>
        </x14:dataValidation>
        <x14:dataValidation type="list" allowBlank="1" showInputMessage="1" showErrorMessage="1" xr:uid="{9CE4F6D7-D149-427F-B433-AE2B740D7E33}">
          <x14:formula1>
            <xm:f>Feuil3!$A$2:$A$4</xm:f>
          </x14:formula1>
          <xm:sqref>S23:S34 S1:S12</xm:sqref>
        </x14:dataValidation>
        <x14:dataValidation type="list" allowBlank="1" showInputMessage="1" showErrorMessage="1" xr:uid="{0345A003-70B2-4461-B49A-D2656AA57E21}">
          <x14:formula1>
            <xm:f>Feuil3!$B$2:$B$15</xm:f>
          </x14:formula1>
          <xm:sqref>D2:D193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AEEC-DC8F-46B4-B967-A237F14841E0}">
  <sheetPr codeName="Feuil2"/>
  <dimension ref="A1:T187"/>
  <sheetViews>
    <sheetView topLeftCell="A160" workbookViewId="0">
      <selection activeCell="B176" sqref="B176"/>
    </sheetView>
  </sheetViews>
  <sheetFormatPr baseColWidth="10" defaultRowHeight="15" x14ac:dyDescent="0.25"/>
  <cols>
    <col min="1" max="1" width="22.140625" customWidth="1"/>
    <col min="2" max="2" width="32.5703125" customWidth="1"/>
    <col min="3" max="3" width="15" customWidth="1"/>
    <col min="4" max="4" width="34" customWidth="1"/>
    <col min="5" max="5" width="28.140625" customWidth="1"/>
    <col min="6" max="7" width="11.42578125" style="4"/>
    <col min="8" max="8" width="9" style="4" customWidth="1"/>
    <col min="9" max="9" width="10.7109375" style="4" customWidth="1"/>
    <col min="10" max="10" width="15.7109375" style="1" customWidth="1"/>
    <col min="11" max="11" width="13.85546875" style="2" customWidth="1"/>
    <col min="12" max="12" width="20.7109375" style="1" customWidth="1"/>
    <col min="13" max="13" width="11.42578125" style="2"/>
    <col min="14" max="20" width="11.42578125" style="4"/>
  </cols>
  <sheetData>
    <row r="1" spans="1:13" x14ac:dyDescent="0.25">
      <c r="A1" t="s">
        <v>1</v>
      </c>
      <c r="B1" t="s">
        <v>3</v>
      </c>
      <c r="C1" t="s">
        <v>4</v>
      </c>
      <c r="D1" t="s">
        <v>2</v>
      </c>
      <c r="E1" t="s">
        <v>104</v>
      </c>
      <c r="J1" s="7" t="str">
        <f>Candidature!Q1</f>
        <v>Nom hopital</v>
      </c>
      <c r="K1" s="2" t="s">
        <v>3</v>
      </c>
      <c r="L1" s="1" t="s">
        <v>4</v>
      </c>
      <c r="M1" s="2" t="s">
        <v>14</v>
      </c>
    </row>
    <row r="2" spans="1:13" x14ac:dyDescent="0.25">
      <c r="A2" t="str">
        <f>Candidature!C2</f>
        <v>MyTelec om Entreprises</v>
      </c>
      <c r="B2" s="12" t="s">
        <v>8</v>
      </c>
      <c r="C2" t="s">
        <v>9</v>
      </c>
      <c r="E2" s="12" t="s">
        <v>103</v>
      </c>
      <c r="J2" s="7" t="str">
        <f>Candidature!Q2</f>
        <v>LaporteVerte</v>
      </c>
      <c r="L2" s="1" t="s">
        <v>65</v>
      </c>
      <c r="M2" s="2" t="s">
        <v>66</v>
      </c>
    </row>
    <row r="3" spans="1:13" x14ac:dyDescent="0.25">
      <c r="A3" t="str">
        <f>Candidature!C3</f>
        <v>VousFaciliterIT</v>
      </c>
      <c r="B3" s="12" t="s">
        <v>41</v>
      </c>
      <c r="C3" t="s">
        <v>11</v>
      </c>
      <c r="D3" t="s">
        <v>108</v>
      </c>
      <c r="J3" s="7" t="str">
        <f>Candidature!Q3</f>
        <v>Groupe Hospitalier Nord Essonne</v>
      </c>
    </row>
    <row r="4" spans="1:13" x14ac:dyDescent="0.25">
      <c r="A4" t="str">
        <f>Candidature!C4</f>
        <v>RTEAM</v>
      </c>
      <c r="B4" t="s">
        <v>42</v>
      </c>
      <c r="C4" t="s">
        <v>13</v>
      </c>
      <c r="D4" t="s">
        <v>109</v>
      </c>
      <c r="J4" s="7" t="str">
        <f>Candidature!Q4</f>
        <v>H Paris Est</v>
      </c>
    </row>
    <row r="5" spans="1:13" x14ac:dyDescent="0.25">
      <c r="A5" t="str">
        <f>Candidature!C5</f>
        <v>Alleo</v>
      </c>
      <c r="B5" s="12" t="s">
        <v>111</v>
      </c>
      <c r="C5" t="s">
        <v>16</v>
      </c>
      <c r="J5" s="7" t="str">
        <f>Candidature!Q5</f>
        <v>CH Rives de Seine</v>
      </c>
    </row>
    <row r="6" spans="1:13" x14ac:dyDescent="0.25">
      <c r="A6" t="str">
        <f>Candidature!C6</f>
        <v>KTNS</v>
      </c>
      <c r="B6" s="12" t="s">
        <v>18</v>
      </c>
      <c r="C6" t="s">
        <v>19</v>
      </c>
      <c r="J6" s="7" t="str">
        <f>Candidature!Q6</f>
        <v>American Hospital Paris</v>
      </c>
    </row>
    <row r="7" spans="1:13" x14ac:dyDescent="0.25">
      <c r="A7" t="str">
        <f>Candidature!C7</f>
        <v>TDF</v>
      </c>
      <c r="B7" s="12" t="s">
        <v>38</v>
      </c>
      <c r="C7" t="s">
        <v>22</v>
      </c>
      <c r="J7" s="7" t="str">
        <f>Candidature!Q7</f>
        <v>CHSF</v>
      </c>
    </row>
    <row r="8" spans="1:13" x14ac:dyDescent="0.25">
      <c r="A8" t="str">
        <f>Candidature!C8</f>
        <v>Paritel</v>
      </c>
      <c r="B8" s="12" t="s">
        <v>39</v>
      </c>
      <c r="C8" t="s">
        <v>24</v>
      </c>
      <c r="J8" s="7"/>
    </row>
    <row r="9" spans="1:13" x14ac:dyDescent="0.25">
      <c r="A9" t="str">
        <f>Candidature!C9</f>
        <v>Tibco</v>
      </c>
      <c r="B9" s="12" t="s">
        <v>40</v>
      </c>
      <c r="C9" t="s">
        <v>26</v>
      </c>
      <c r="J9" s="7"/>
    </row>
    <row r="10" spans="1:13" x14ac:dyDescent="0.25">
      <c r="A10" t="str">
        <f>Candidature!C10</f>
        <v>Rhôn TELECOM</v>
      </c>
      <c r="B10" s="12" t="s">
        <v>36</v>
      </c>
      <c r="C10" t="s">
        <v>28</v>
      </c>
      <c r="J10" s="7"/>
    </row>
    <row r="11" spans="1:13" x14ac:dyDescent="0.25">
      <c r="A11" t="str">
        <f>Candidature!C11</f>
        <v>KSTelecom</v>
      </c>
      <c r="B11" s="12" t="s">
        <v>37</v>
      </c>
      <c r="C11" t="s">
        <v>30</v>
      </c>
      <c r="J11" s="7"/>
    </row>
    <row r="12" spans="1:13" x14ac:dyDescent="0.25">
      <c r="A12" t="str">
        <f>Candidature!C12</f>
        <v>MonacoTelecom</v>
      </c>
      <c r="B12" s="12" t="s">
        <v>32</v>
      </c>
      <c r="C12" t="s">
        <v>33</v>
      </c>
      <c r="J12" s="7"/>
    </row>
    <row r="13" spans="1:13" x14ac:dyDescent="0.25">
      <c r="A13" t="str">
        <f>Candidature!C13</f>
        <v>Com Network</v>
      </c>
      <c r="C13" t="s">
        <v>35</v>
      </c>
      <c r="J13" s="7"/>
    </row>
    <row r="14" spans="1:13" x14ac:dyDescent="0.25">
      <c r="A14" t="str">
        <f>Candidature!C14</f>
        <v>Telec FR</v>
      </c>
      <c r="B14" s="12" t="s">
        <v>44</v>
      </c>
      <c r="C14" t="s">
        <v>45</v>
      </c>
      <c r="J14" s="7"/>
    </row>
    <row r="15" spans="1:13" x14ac:dyDescent="0.25">
      <c r="A15" t="str">
        <f>Candidature!C15</f>
        <v>FreePRO</v>
      </c>
      <c r="B15" s="12" t="s">
        <v>47</v>
      </c>
      <c r="C15" t="s">
        <v>48</v>
      </c>
      <c r="J15" s="7"/>
    </row>
    <row r="16" spans="1:13" x14ac:dyDescent="0.25">
      <c r="A16" t="str">
        <f>Candidature!C16</f>
        <v>Open Global</v>
      </c>
      <c r="J16" s="7"/>
    </row>
    <row r="17" spans="1:10" x14ac:dyDescent="0.25">
      <c r="A17" t="str">
        <f>Candidature!C17</f>
        <v>ExtremIT</v>
      </c>
      <c r="C17" t="s">
        <v>52</v>
      </c>
      <c r="J17" s="7"/>
    </row>
    <row r="18" spans="1:10" x14ac:dyDescent="0.25">
      <c r="A18" t="str">
        <f>Candidature!C18</f>
        <v>ODYC C</v>
      </c>
      <c r="C18" t="s">
        <v>54</v>
      </c>
      <c r="J18" s="7"/>
    </row>
    <row r="19" spans="1:10" x14ac:dyDescent="0.25">
      <c r="A19" t="str">
        <f>Candidature!C19</f>
        <v>Socotec Construction</v>
      </c>
      <c r="C19" t="s">
        <v>56</v>
      </c>
      <c r="J19" s="7"/>
    </row>
    <row r="20" spans="1:10" x14ac:dyDescent="0.25">
      <c r="A20" t="str">
        <f>Candidature!C20</f>
        <v>RTE France</v>
      </c>
      <c r="J20" s="7"/>
    </row>
    <row r="21" spans="1:10" x14ac:dyDescent="0.25">
      <c r="A21" t="str">
        <f>Candidature!C21</f>
        <v>Fichet Group</v>
      </c>
      <c r="B21" s="12" t="s">
        <v>83</v>
      </c>
      <c r="C21" t="s">
        <v>80</v>
      </c>
    </row>
    <row r="22" spans="1:10" x14ac:dyDescent="0.25">
      <c r="A22" t="str">
        <f>Candidature!C22</f>
        <v>MainCare</v>
      </c>
    </row>
    <row r="23" spans="1:10" x14ac:dyDescent="0.25">
      <c r="A23" t="str">
        <f>Candidature!C23</f>
        <v>Evidensee</v>
      </c>
      <c r="C23" t="s">
        <v>85</v>
      </c>
      <c r="D23" s="21" t="s">
        <v>86</v>
      </c>
    </row>
    <row r="24" spans="1:10" x14ac:dyDescent="0.25">
      <c r="A24" t="str">
        <f>Candidature!C24</f>
        <v>Groupe Savencia</v>
      </c>
      <c r="C24" t="s">
        <v>88</v>
      </c>
      <c r="D24" s="21" t="s">
        <v>89</v>
      </c>
    </row>
    <row r="25" spans="1:10" x14ac:dyDescent="0.25">
      <c r="A25" t="str">
        <f>Candidature!C25</f>
        <v>Aix-Marseille Université (AMU)</v>
      </c>
      <c r="B25" t="s">
        <v>90</v>
      </c>
    </row>
    <row r="26" spans="1:10" x14ac:dyDescent="0.25">
      <c r="A26" t="str">
        <f>Candidature!C26</f>
        <v>Klapierre</v>
      </c>
      <c r="C26" t="s">
        <v>93</v>
      </c>
    </row>
    <row r="27" spans="1:10" x14ac:dyDescent="0.25">
      <c r="A27" t="str">
        <f>Candidature!C27</f>
        <v>CDC Informatique</v>
      </c>
    </row>
    <row r="28" spans="1:10" x14ac:dyDescent="0.25">
      <c r="A28" t="str">
        <f>Candidature!C28</f>
        <v>Forsee Power</v>
      </c>
      <c r="C28" t="s">
        <v>96</v>
      </c>
      <c r="D28" s="21" t="s">
        <v>97</v>
      </c>
    </row>
    <row r="29" spans="1:10" x14ac:dyDescent="0.25">
      <c r="A29" t="str">
        <f>Candidature!C29</f>
        <v>JULBO</v>
      </c>
      <c r="D29" s="21" t="s">
        <v>99</v>
      </c>
    </row>
    <row r="30" spans="1:10" x14ac:dyDescent="0.25">
      <c r="A30" t="str">
        <f>Candidature!C30</f>
        <v>Extia</v>
      </c>
    </row>
    <row r="31" spans="1:10" x14ac:dyDescent="0.25">
      <c r="A31" t="str">
        <f>Candidature!C31</f>
        <v>Leonix</v>
      </c>
    </row>
    <row r="32" spans="1:10" x14ac:dyDescent="0.25">
      <c r="A32" t="str">
        <f>Candidature!C32</f>
        <v>Sii Group</v>
      </c>
      <c r="B32" s="12" t="s">
        <v>119</v>
      </c>
      <c r="C32" t="s">
        <v>120</v>
      </c>
    </row>
    <row r="33" spans="1:3" x14ac:dyDescent="0.25">
      <c r="A33" t="str">
        <f>Candidature!C33</f>
        <v>DSTNY</v>
      </c>
    </row>
    <row r="34" spans="1:3" x14ac:dyDescent="0.25">
      <c r="A34" t="str">
        <f>Candidature!C34</f>
        <v>Ciel tecom</v>
      </c>
    </row>
    <row r="35" spans="1:3" x14ac:dyDescent="0.25">
      <c r="A35" t="str">
        <f>Candidature!C35</f>
        <v>Blue ( Breragne )</v>
      </c>
    </row>
    <row r="36" spans="1:3" x14ac:dyDescent="0.25">
      <c r="A36" t="str">
        <f>Candidature!C36</f>
        <v>Coriolis Entreprise</v>
      </c>
      <c r="C36" t="s">
        <v>125</v>
      </c>
    </row>
    <row r="37" spans="1:3" x14ac:dyDescent="0.25">
      <c r="A37" t="str">
        <f>Candidature!C37</f>
        <v xml:space="preserve">keyyo </v>
      </c>
    </row>
    <row r="38" spans="1:3" x14ac:dyDescent="0.25">
      <c r="A38" t="str">
        <f>Candidature!C38</f>
        <v>Open France</v>
      </c>
    </row>
    <row r="39" spans="1:3" x14ac:dyDescent="0.25">
      <c r="A39" t="str">
        <f>Candidature!C39</f>
        <v>Stelogy</v>
      </c>
    </row>
    <row r="40" spans="1:3" x14ac:dyDescent="0.25">
      <c r="A40" t="str">
        <f>Candidature!C40</f>
        <v>CELAD</v>
      </c>
    </row>
    <row r="41" spans="1:3" x14ac:dyDescent="0.25">
      <c r="A41" t="str">
        <f>Candidature!C41</f>
        <v>InfoTem</v>
      </c>
    </row>
    <row r="42" spans="1:3" x14ac:dyDescent="0.25">
      <c r="A42" t="str">
        <f>Candidature!C42</f>
        <v>Objectware</v>
      </c>
    </row>
    <row r="43" spans="1:3" x14ac:dyDescent="0.25">
      <c r="A43" t="str">
        <f>Candidature!C43</f>
        <v>Smartpoint</v>
      </c>
    </row>
    <row r="44" spans="1:3" x14ac:dyDescent="0.25">
      <c r="A44" t="str">
        <f>Candidature!C44</f>
        <v>Opeamis</v>
      </c>
      <c r="B44" s="18" t="s">
        <v>138</v>
      </c>
    </row>
    <row r="45" spans="1:3" x14ac:dyDescent="0.25">
      <c r="A45" t="str">
        <f>Candidature!C45</f>
        <v>Citech</v>
      </c>
    </row>
    <row r="46" spans="1:3" x14ac:dyDescent="0.25">
      <c r="A46" t="str">
        <f>Candidature!C46</f>
        <v>Tim-tek</v>
      </c>
    </row>
    <row r="47" spans="1:3" x14ac:dyDescent="0.25">
      <c r="A47" t="str">
        <f>Candidature!C47</f>
        <v>Externatic</v>
      </c>
    </row>
    <row r="48" spans="1:3" x14ac:dyDescent="0.25">
      <c r="A48" t="str">
        <f>Candidature!C48</f>
        <v>Shape IT</v>
      </c>
      <c r="B48" s="18" t="s">
        <v>143</v>
      </c>
    </row>
    <row r="49" spans="1:3" x14ac:dyDescent="0.25">
      <c r="A49" t="str">
        <f>Candidature!C49</f>
        <v>Apollo</v>
      </c>
    </row>
    <row r="50" spans="1:3" x14ac:dyDescent="0.25">
      <c r="A50" t="str">
        <f>Candidature!C50</f>
        <v>Inforca</v>
      </c>
    </row>
    <row r="51" spans="1:3" x14ac:dyDescent="0.25">
      <c r="A51" t="str">
        <f>Candidature!C51</f>
        <v>VISEO</v>
      </c>
    </row>
    <row r="52" spans="1:3" x14ac:dyDescent="0.25">
      <c r="A52" t="str">
        <f>Candidature!C52</f>
        <v>MandarineSolotions</v>
      </c>
    </row>
    <row r="53" spans="1:3" x14ac:dyDescent="0.25">
      <c r="A53" t="str">
        <f>Candidature!C53</f>
        <v>Decivision</v>
      </c>
    </row>
    <row r="54" spans="1:3" x14ac:dyDescent="0.25">
      <c r="A54" t="str">
        <f>Candidature!C54</f>
        <v>Asitix</v>
      </c>
    </row>
    <row r="55" spans="1:3" x14ac:dyDescent="0.25">
      <c r="A55" t="str">
        <f>Candidature!C55</f>
        <v>Ceoris</v>
      </c>
    </row>
    <row r="56" spans="1:3" x14ac:dyDescent="0.25">
      <c r="A56" t="str">
        <f>Candidature!C56</f>
        <v>Anaya</v>
      </c>
      <c r="B56" s="12" t="s">
        <v>164</v>
      </c>
      <c r="C56" t="s">
        <v>153</v>
      </c>
    </row>
    <row r="57" spans="1:3" x14ac:dyDescent="0.25">
      <c r="A57" t="str">
        <f>Candidature!C57</f>
        <v>ESN Marseille</v>
      </c>
    </row>
    <row r="58" spans="1:3" x14ac:dyDescent="0.25">
      <c r="A58" t="str">
        <f>Candidature!C58</f>
        <v>Neurones</v>
      </c>
      <c r="C58" t="s">
        <v>156</v>
      </c>
    </row>
    <row r="59" spans="1:3" x14ac:dyDescent="0.25">
      <c r="A59" t="str">
        <f>Candidature!C59</f>
        <v>Elitis</v>
      </c>
    </row>
    <row r="60" spans="1:3" x14ac:dyDescent="0.25">
      <c r="A60" t="str">
        <f>Candidature!C60</f>
        <v>Infotel</v>
      </c>
    </row>
    <row r="61" spans="1:3" x14ac:dyDescent="0.25">
      <c r="A61" t="str">
        <f>Candidature!C61</f>
        <v>L'Atelierdu Mac</v>
      </c>
    </row>
    <row r="62" spans="1:3" x14ac:dyDescent="0.25">
      <c r="A62" t="str">
        <f>Candidature!C62</f>
        <v>Nextin Com</v>
      </c>
    </row>
    <row r="63" spans="1:3" x14ac:dyDescent="0.25">
      <c r="A63" t="str">
        <f>Candidature!C63</f>
        <v>Forsee Power</v>
      </c>
    </row>
    <row r="64" spans="1:3" x14ac:dyDescent="0.25">
      <c r="A64" t="str">
        <f>Candidature!C64</f>
        <v>Coexel</v>
      </c>
    </row>
    <row r="65" spans="1:3" x14ac:dyDescent="0.25">
      <c r="A65" t="str">
        <f>Candidature!C65</f>
        <v>Izencia</v>
      </c>
    </row>
    <row r="66" spans="1:3" x14ac:dyDescent="0.25">
      <c r="A66" t="str">
        <f>Candidature!C66</f>
        <v>Iocean</v>
      </c>
    </row>
    <row r="67" spans="1:3" x14ac:dyDescent="0.25">
      <c r="A67" t="str">
        <f>Candidature!C67</f>
        <v>Ecritel</v>
      </c>
    </row>
    <row r="68" spans="1:3" x14ac:dyDescent="0.25">
      <c r="A68" t="str">
        <f>Candidature!C68</f>
        <v>Groupe GTH</v>
      </c>
      <c r="B68" s="12" t="s">
        <v>168</v>
      </c>
      <c r="C68" t="s">
        <v>169</v>
      </c>
    </row>
    <row r="69" spans="1:3" x14ac:dyDescent="0.25">
      <c r="A69" t="str">
        <f>Candidature!C69</f>
        <v>Skillsfirst</v>
      </c>
    </row>
    <row r="70" spans="1:3" x14ac:dyDescent="0.25">
      <c r="A70" t="str">
        <f>Candidature!C70</f>
        <v>DVIDSON</v>
      </c>
    </row>
    <row r="71" spans="1:3" x14ac:dyDescent="0.25">
      <c r="A71" t="str">
        <f>Candidature!C71</f>
        <v>ELEPHANT</v>
      </c>
    </row>
    <row r="72" spans="1:3" x14ac:dyDescent="0.25">
      <c r="A72" t="str">
        <f>Candidature!C72</f>
        <v>LEYTON</v>
      </c>
    </row>
    <row r="73" spans="1:3" x14ac:dyDescent="0.25">
      <c r="A73" t="str">
        <f>Candidature!C73</f>
        <v>Proxiteam</v>
      </c>
    </row>
    <row r="74" spans="1:3" x14ac:dyDescent="0.25">
      <c r="A74" t="str">
        <f>Candidature!C74</f>
        <v>Fenyx</v>
      </c>
    </row>
    <row r="75" spans="1:3" x14ac:dyDescent="0.25">
      <c r="A75" t="str">
        <f>Candidature!C75</f>
        <v>Capital Informatique</v>
      </c>
    </row>
    <row r="76" spans="1:3" x14ac:dyDescent="0.25">
      <c r="A76" t="str">
        <f>Candidature!C76</f>
        <v>W3 Plus</v>
      </c>
    </row>
    <row r="77" spans="1:3" x14ac:dyDescent="0.25">
      <c r="A77" t="str">
        <f>Candidature!C77</f>
        <v>Proelan</v>
      </c>
    </row>
    <row r="78" spans="1:3" x14ac:dyDescent="0.25">
      <c r="A78" t="str">
        <f>Candidature!C78</f>
        <v>Selfing</v>
      </c>
    </row>
    <row r="79" spans="1:3" x14ac:dyDescent="0.25">
      <c r="A79" t="str">
        <f>Candidature!C79</f>
        <v>Eita Consulting</v>
      </c>
    </row>
    <row r="80" spans="1:3" x14ac:dyDescent="0.25">
      <c r="A80" t="str">
        <f>Candidature!C80</f>
        <v>Nicoka</v>
      </c>
    </row>
    <row r="81" spans="1:1" x14ac:dyDescent="0.25">
      <c r="A81" t="str">
        <f>Candidature!C81</f>
        <v>Atelian</v>
      </c>
    </row>
    <row r="82" spans="1:1" x14ac:dyDescent="0.25">
      <c r="A82" t="str">
        <f>Candidature!C82</f>
        <v>H Robert-Debré</v>
      </c>
    </row>
    <row r="83" spans="1:1" x14ac:dyDescent="0.25">
      <c r="A83" t="str">
        <f>Candidature!C83</f>
        <v>Aman International</v>
      </c>
    </row>
    <row r="84" spans="1:1" x14ac:dyDescent="0.25">
      <c r="A84" t="str">
        <f>Candidature!C84</f>
        <v>StormShield</v>
      </c>
    </row>
    <row r="85" spans="1:1" x14ac:dyDescent="0.25">
      <c r="A85" t="str">
        <f>Candidature!C85</f>
        <v>intertek</v>
      </c>
    </row>
    <row r="86" spans="1:1" x14ac:dyDescent="0.25">
      <c r="A86" t="str">
        <f>Candidature!C86</f>
        <v>Digitalis</v>
      </c>
    </row>
    <row r="87" spans="1:1" x14ac:dyDescent="0.25">
      <c r="A87" t="str">
        <f>Candidature!C87</f>
        <v>Blue Search</v>
      </c>
    </row>
    <row r="88" spans="1:1" x14ac:dyDescent="0.25">
      <c r="A88" t="str">
        <f>Candidature!C88</f>
        <v>Cegi</v>
      </c>
    </row>
    <row r="89" spans="1:1" x14ac:dyDescent="0.25">
      <c r="A89" t="str">
        <f>Candidature!C89</f>
        <v>Okuden</v>
      </c>
    </row>
    <row r="90" spans="1:1" x14ac:dyDescent="0.25">
      <c r="A90" t="str">
        <f>Candidature!C90</f>
        <v>Occicom</v>
      </c>
    </row>
    <row r="91" spans="1:1" x14ac:dyDescent="0.25">
      <c r="A91" t="str">
        <f>Candidature!C91</f>
        <v>Serfim T.I.C</v>
      </c>
    </row>
    <row r="92" spans="1:1" x14ac:dyDescent="0.25">
      <c r="A92" t="str">
        <f>Candidature!C92</f>
        <v>Sciendi</v>
      </c>
    </row>
    <row r="93" spans="1:1" x14ac:dyDescent="0.25">
      <c r="A93" t="str">
        <f>Candidature!C93</f>
        <v>MGI</v>
      </c>
    </row>
    <row r="94" spans="1:1" x14ac:dyDescent="0.25">
      <c r="A94" t="str">
        <f>Candidature!C94</f>
        <v>Activus</v>
      </c>
    </row>
    <row r="95" spans="1:1" x14ac:dyDescent="0.25">
      <c r="A95" t="str">
        <f>Candidature!C95</f>
        <v>H Poissy</v>
      </c>
    </row>
    <row r="96" spans="1:1" x14ac:dyDescent="0.25">
      <c r="A96" t="str">
        <f>Candidature!C96</f>
        <v>M.Sartrouvile</v>
      </c>
    </row>
    <row r="97" spans="1:3" x14ac:dyDescent="0.25">
      <c r="A97" t="str">
        <f>Candidature!C97</f>
        <v>Ville de Plaisir</v>
      </c>
    </row>
    <row r="98" spans="1:3" x14ac:dyDescent="0.25">
      <c r="A98" t="str">
        <f>Candidature!C98</f>
        <v>Agexis</v>
      </c>
      <c r="B98" s="12" t="s">
        <v>204</v>
      </c>
    </row>
    <row r="99" spans="1:3" x14ac:dyDescent="0.25">
      <c r="A99" t="str">
        <f>Candidature!C99</f>
        <v>Direction générale du trésor</v>
      </c>
    </row>
    <row r="100" spans="1:3" x14ac:dyDescent="0.25">
      <c r="A100" t="str">
        <f>Candidature!C100</f>
        <v>Hexel</v>
      </c>
    </row>
    <row r="101" spans="1:3" x14ac:dyDescent="0.25">
      <c r="A101" t="str">
        <f>Candidature!C101</f>
        <v>Atimic</v>
      </c>
    </row>
    <row r="102" spans="1:3" x14ac:dyDescent="0.25">
      <c r="A102" t="str">
        <f>Candidature!C102</f>
        <v>VerySwing</v>
      </c>
    </row>
    <row r="103" spans="1:3" x14ac:dyDescent="0.25">
      <c r="A103" t="str">
        <f>Candidature!C103</f>
        <v>Telecoms Entreprises</v>
      </c>
      <c r="B103" s="12" t="s">
        <v>210</v>
      </c>
    </row>
    <row r="104" spans="1:3" x14ac:dyDescent="0.25">
      <c r="A104" t="str">
        <f>Candidature!C104</f>
        <v>NGE</v>
      </c>
    </row>
    <row r="105" spans="1:3" x14ac:dyDescent="0.25">
      <c r="A105" t="str">
        <f>Candidature!C105</f>
        <v>Groupe SNEF</v>
      </c>
    </row>
    <row r="106" spans="1:3" x14ac:dyDescent="0.25">
      <c r="A106" t="str">
        <f>Candidature!C106</f>
        <v>NXO</v>
      </c>
    </row>
    <row r="107" spans="1:3" x14ac:dyDescent="0.25">
      <c r="A107" t="str">
        <f>Candidature!C107</f>
        <v>Axiane</v>
      </c>
    </row>
    <row r="108" spans="1:3" x14ac:dyDescent="0.25">
      <c r="A108" t="str">
        <f>Candidature!C108</f>
        <v>DIAKELYS</v>
      </c>
    </row>
    <row r="109" spans="1:3" x14ac:dyDescent="0.25">
      <c r="A109" t="str">
        <f>Candidature!C109</f>
        <v>Finaxy</v>
      </c>
      <c r="C109" t="s">
        <v>217</v>
      </c>
    </row>
    <row r="110" spans="1:3" x14ac:dyDescent="0.25">
      <c r="A110" t="str">
        <f>Candidature!C110</f>
        <v>Axe Informatique</v>
      </c>
    </row>
    <row r="111" spans="1:3" x14ac:dyDescent="0.25">
      <c r="A111" t="str">
        <f>Candidature!C111</f>
        <v>Lumiere</v>
      </c>
    </row>
    <row r="112" spans="1:3" x14ac:dyDescent="0.25">
      <c r="A112" t="str">
        <f>Candidature!C112</f>
        <v>Europ net</v>
      </c>
      <c r="C112" t="s">
        <v>221</v>
      </c>
    </row>
    <row r="113" spans="1:2" x14ac:dyDescent="0.25">
      <c r="A113" t="str">
        <f>Candidature!C113</f>
        <v>SAML Fayat</v>
      </c>
    </row>
    <row r="114" spans="1:2" x14ac:dyDescent="0.25">
      <c r="A114" t="str">
        <f>Candidature!C114</f>
        <v>Groupe DERET</v>
      </c>
    </row>
    <row r="115" spans="1:2" x14ac:dyDescent="0.25">
      <c r="A115" t="str">
        <f>Candidature!C115</f>
        <v>Celink</v>
      </c>
    </row>
    <row r="116" spans="1:2" x14ac:dyDescent="0.25">
      <c r="A116" t="str">
        <f>Candidature!C116</f>
        <v>ECE Groupe</v>
      </c>
    </row>
    <row r="117" spans="1:2" x14ac:dyDescent="0.25">
      <c r="A117" t="str">
        <f>Candidature!C117</f>
        <v>Synovo Group</v>
      </c>
    </row>
    <row r="118" spans="1:2" x14ac:dyDescent="0.25">
      <c r="A118" t="str">
        <f>Candidature!C118</f>
        <v>Plateformi</v>
      </c>
    </row>
    <row r="119" spans="1:2" x14ac:dyDescent="0.25">
      <c r="A119" t="str">
        <f>Candidature!C119</f>
        <v>TP-Link</v>
      </c>
      <c r="B119" s="18" t="s">
        <v>230</v>
      </c>
    </row>
    <row r="120" spans="1:2" x14ac:dyDescent="0.25">
      <c r="A120" t="str">
        <f>Candidature!C120</f>
        <v>Royal Kaak</v>
      </c>
    </row>
    <row r="121" spans="1:2" x14ac:dyDescent="0.25">
      <c r="A121" t="str">
        <f>Candidature!C121</f>
        <v>ATIF</v>
      </c>
    </row>
    <row r="122" spans="1:2" x14ac:dyDescent="0.25">
      <c r="A122" t="str">
        <f>Candidature!C122</f>
        <v>La fibre numérique</v>
      </c>
    </row>
    <row r="123" spans="1:2" x14ac:dyDescent="0.25">
      <c r="A123" t="str">
        <f>Candidature!C123</f>
        <v>Le Lorec</v>
      </c>
    </row>
    <row r="124" spans="1:2" x14ac:dyDescent="0.25">
      <c r="A124" t="str">
        <f>Candidature!C124</f>
        <v>AEROSPACE CLUSTER</v>
      </c>
    </row>
    <row r="125" spans="1:2" x14ac:dyDescent="0.25">
      <c r="A125" t="str">
        <f>Candidature!C125</f>
        <v>RH Partners</v>
      </c>
    </row>
    <row r="126" spans="1:2" x14ac:dyDescent="0.25">
      <c r="A126" t="str">
        <f>Candidature!C126</f>
        <v>STAFF U</v>
      </c>
    </row>
    <row r="127" spans="1:2" x14ac:dyDescent="0.25">
      <c r="A127" t="str">
        <f>Candidature!C127</f>
        <v>XP Fibre</v>
      </c>
    </row>
    <row r="128" spans="1:2" x14ac:dyDescent="0.25">
      <c r="A128" t="str">
        <f>Candidature!C128</f>
        <v>Sictiam</v>
      </c>
    </row>
    <row r="129" spans="1:2" x14ac:dyDescent="0.25">
      <c r="A129" t="str">
        <f>Candidature!C129</f>
        <v>FC NET</v>
      </c>
    </row>
    <row r="130" spans="1:2" x14ac:dyDescent="0.25">
      <c r="A130" t="str">
        <f>Candidature!C130</f>
        <v>1Pact</v>
      </c>
    </row>
    <row r="131" spans="1:2" x14ac:dyDescent="0.25">
      <c r="A131" t="str">
        <f>Candidature!C131</f>
        <v>GKACTIV</v>
      </c>
    </row>
    <row r="132" spans="1:2" x14ac:dyDescent="0.25">
      <c r="A132" t="str">
        <f>Candidature!C132</f>
        <v>Idal groupe</v>
      </c>
    </row>
    <row r="133" spans="1:2" x14ac:dyDescent="0.25">
      <c r="A133" t="str">
        <f>Candidature!C133</f>
        <v>Aéos</v>
      </c>
    </row>
    <row r="134" spans="1:2" x14ac:dyDescent="0.25">
      <c r="A134" t="str">
        <f>Candidature!C134</f>
        <v>HydroGain</v>
      </c>
    </row>
    <row r="135" spans="1:2" x14ac:dyDescent="0.25">
      <c r="A135" t="str">
        <f>Candidature!C135</f>
        <v>Fiveaday</v>
      </c>
    </row>
    <row r="136" spans="1:2" x14ac:dyDescent="0.25">
      <c r="A136" t="str">
        <f>Candidature!C136</f>
        <v>AtlantiC Ingénierie</v>
      </c>
    </row>
    <row r="137" spans="1:2" x14ac:dyDescent="0.25">
      <c r="A137" t="str">
        <f>Candidature!C137</f>
        <v>Nexacom</v>
      </c>
    </row>
    <row r="138" spans="1:2" x14ac:dyDescent="0.25">
      <c r="A138" t="str">
        <f>Candidature!C138</f>
        <v>TC Consulting</v>
      </c>
    </row>
    <row r="139" spans="1:2" x14ac:dyDescent="0.25">
      <c r="A139" t="str">
        <f>Candidature!C139</f>
        <v>Auranext</v>
      </c>
      <c r="B139" s="18" t="s">
        <v>251</v>
      </c>
    </row>
    <row r="140" spans="1:2" x14ac:dyDescent="0.25">
      <c r="A140" t="str">
        <f>Candidature!C140</f>
        <v>France médias monde</v>
      </c>
    </row>
    <row r="141" spans="1:2" x14ac:dyDescent="0.25">
      <c r="A141" t="str">
        <f>Candidature!C141</f>
        <v>Clauger</v>
      </c>
    </row>
    <row r="142" spans="1:2" x14ac:dyDescent="0.25">
      <c r="A142" t="str">
        <f>Candidature!C142</f>
        <v>Harry-hope</v>
      </c>
    </row>
    <row r="143" spans="1:2" x14ac:dyDescent="0.25">
      <c r="A143" t="str">
        <f>Candidature!C143</f>
        <v>Talents Baryton</v>
      </c>
    </row>
    <row r="144" spans="1:2" x14ac:dyDescent="0.25">
      <c r="A144" t="str">
        <f>Candidature!C144</f>
        <v>Combeconsulting</v>
      </c>
    </row>
    <row r="145" spans="1:1" x14ac:dyDescent="0.25">
      <c r="A145" t="str">
        <f>Candidature!C145</f>
        <v>Alternative-recrutement</v>
      </c>
    </row>
    <row r="146" spans="1:1" x14ac:dyDescent="0.25">
      <c r="A146" t="str">
        <f>Candidature!C146</f>
        <v>Planete plus</v>
      </c>
    </row>
    <row r="147" spans="1:1" x14ac:dyDescent="0.25">
      <c r="A147" t="str">
        <f>Candidature!C147</f>
        <v>Info Jeunes</v>
      </c>
    </row>
    <row r="148" spans="1:1" x14ac:dyDescent="0.25">
      <c r="A148" t="str">
        <f>Candidature!C148</f>
        <v>Lessard</v>
      </c>
    </row>
    <row r="149" spans="1:1" x14ac:dyDescent="0.25">
      <c r="A149" t="str">
        <f>Candidature!C149</f>
        <v>Seenovate</v>
      </c>
    </row>
    <row r="150" spans="1:1" x14ac:dyDescent="0.25">
      <c r="A150" t="str">
        <f>Candidature!C150</f>
        <v>MyfairJob</v>
      </c>
    </row>
    <row r="151" spans="1:1" x14ac:dyDescent="0.25">
      <c r="A151" t="str">
        <f>Candidature!C151</f>
        <v>Agisti</v>
      </c>
    </row>
    <row r="152" spans="1:1" x14ac:dyDescent="0.25">
      <c r="A152" t="str">
        <f>Candidature!C152</f>
        <v>Les Paipillons blancs</v>
      </c>
    </row>
    <row r="153" spans="1:1" x14ac:dyDescent="0.25">
      <c r="A153" t="str">
        <f>Candidature!C153</f>
        <v>Midi et demi</v>
      </c>
    </row>
    <row r="154" spans="1:1" x14ac:dyDescent="0.25">
      <c r="A154" t="str">
        <f>Candidature!C154</f>
        <v>Bog Pro</v>
      </c>
    </row>
    <row r="155" spans="1:1" x14ac:dyDescent="0.25">
      <c r="A155" t="str">
        <f>Candidature!C155</f>
        <v>Odyssee</v>
      </c>
    </row>
    <row r="156" spans="1:1" x14ac:dyDescent="0.25">
      <c r="A156" t="str">
        <f>Candidature!C156</f>
        <v>Habitat 44</v>
      </c>
    </row>
    <row r="157" spans="1:1" x14ac:dyDescent="0.25">
      <c r="A157" t="str">
        <f>Candidature!C157</f>
        <v>Sotrama</v>
      </c>
    </row>
    <row r="158" spans="1:1" x14ac:dyDescent="0.25">
      <c r="A158" t="str">
        <f>Candidature!C158</f>
        <v>ACS IT</v>
      </c>
    </row>
    <row r="159" spans="1:1" x14ac:dyDescent="0.25">
      <c r="A159" t="str">
        <f>Candidature!C159</f>
        <v>Ville de Houilles</v>
      </c>
    </row>
    <row r="160" spans="1:1" x14ac:dyDescent="0.25">
      <c r="A160" t="str">
        <f>Candidature!C160</f>
        <v>Mairie de trappes</v>
      </c>
    </row>
    <row r="161" spans="1:2" x14ac:dyDescent="0.25">
      <c r="A161" t="str">
        <f>Candidature!C161</f>
        <v>Coignieres</v>
      </c>
    </row>
    <row r="162" spans="1:2" x14ac:dyDescent="0.25">
      <c r="A162" t="str">
        <f>Candidature!C162</f>
        <v>Sartrouville</v>
      </c>
    </row>
    <row r="163" spans="1:2" x14ac:dyDescent="0.25">
      <c r="A163" t="str">
        <f>Candidature!C163</f>
        <v>Maisons Lafitte</v>
      </c>
    </row>
    <row r="164" spans="1:2" x14ac:dyDescent="0.25">
      <c r="A164" t="str">
        <f>Candidature!C164</f>
        <v>Carriere sous poissy</v>
      </c>
    </row>
    <row r="165" spans="1:2" x14ac:dyDescent="0.25">
      <c r="A165" t="str">
        <f>Candidature!C165</f>
        <v>LePerray</v>
      </c>
    </row>
    <row r="166" spans="1:2" x14ac:dyDescent="0.25">
      <c r="A166" t="str">
        <f>Candidature!C166</f>
        <v>Maurepas</v>
      </c>
    </row>
    <row r="167" spans="1:2" x14ac:dyDescent="0.25">
      <c r="A167" t="str">
        <f>Candidature!C167</f>
        <v>Chevreuse</v>
      </c>
    </row>
    <row r="168" spans="1:2" x14ac:dyDescent="0.25">
      <c r="A168" t="str">
        <f>Candidature!C168</f>
        <v xml:space="preserve">Saint-Quentin </v>
      </c>
    </row>
    <row r="169" spans="1:2" x14ac:dyDescent="0.25">
      <c r="A169" t="str">
        <f>Candidature!C169</f>
        <v>Poissy</v>
      </c>
    </row>
    <row r="170" spans="1:2" x14ac:dyDescent="0.25">
      <c r="A170" t="str">
        <f>Candidature!C170</f>
        <v>Velizy</v>
      </c>
    </row>
    <row r="171" spans="1:2" x14ac:dyDescent="0.25">
      <c r="A171" t="str">
        <f>Candidature!C171</f>
        <v>Sagemcom</v>
      </c>
    </row>
    <row r="172" spans="1:2" x14ac:dyDescent="0.25">
      <c r="A172" t="str">
        <f>Candidature!C172</f>
        <v>Groupe SAPH</v>
      </c>
    </row>
    <row r="173" spans="1:2" x14ac:dyDescent="0.25">
      <c r="A173" t="str">
        <f>Candidature!C173</f>
        <v>Abylsen</v>
      </c>
    </row>
    <row r="174" spans="1:2" x14ac:dyDescent="0.25">
      <c r="A174" t="str">
        <f>Candidature!C174</f>
        <v>Gt-Cornouille</v>
      </c>
    </row>
    <row r="175" spans="1:2" x14ac:dyDescent="0.25">
      <c r="A175" t="str">
        <f>Candidature!C175</f>
        <v>Transatel</v>
      </c>
    </row>
    <row r="176" spans="1:2" x14ac:dyDescent="0.25">
      <c r="A176" t="str">
        <f>Candidature!C176</f>
        <v>Vistandcom</v>
      </c>
      <c r="B176" s="18" t="s">
        <v>298</v>
      </c>
    </row>
    <row r="177" spans="1:1" x14ac:dyDescent="0.25">
      <c r="A177" t="str">
        <f>Candidature!C177</f>
        <v>AsinInformatique</v>
      </c>
    </row>
    <row r="178" spans="1:1" x14ac:dyDescent="0.25">
      <c r="A178" t="str">
        <f>Candidature!C184</f>
        <v>Enedis</v>
      </c>
    </row>
    <row r="179" spans="1:1" x14ac:dyDescent="0.25">
      <c r="A179">
        <f>Candidature!C185</f>
        <v>0</v>
      </c>
    </row>
    <row r="180" spans="1:1" x14ac:dyDescent="0.25">
      <c r="A180">
        <f>Candidature!C186</f>
        <v>0</v>
      </c>
    </row>
    <row r="181" spans="1:1" x14ac:dyDescent="0.25">
      <c r="A181">
        <f>Candidature!C187</f>
        <v>0</v>
      </c>
    </row>
    <row r="182" spans="1:1" x14ac:dyDescent="0.25">
      <c r="A182">
        <f>Candidature!C188</f>
        <v>0</v>
      </c>
    </row>
    <row r="183" spans="1:1" x14ac:dyDescent="0.25">
      <c r="A183">
        <f>Candidature!C189</f>
        <v>0</v>
      </c>
    </row>
    <row r="184" spans="1:1" x14ac:dyDescent="0.25">
      <c r="A184">
        <f>Candidature!C190</f>
        <v>0</v>
      </c>
    </row>
    <row r="185" spans="1:1" x14ac:dyDescent="0.25">
      <c r="A185">
        <f>Candidature!C191</f>
        <v>0</v>
      </c>
    </row>
    <row r="186" spans="1:1" x14ac:dyDescent="0.25">
      <c r="A186">
        <f>Candidature!C192</f>
        <v>0</v>
      </c>
    </row>
    <row r="187" spans="1:1" x14ac:dyDescent="0.25">
      <c r="A187">
        <f>Candidature!C193</f>
        <v>0</v>
      </c>
    </row>
  </sheetData>
  <hyperlinks>
    <hyperlink ref="B2" r:id="rId1" xr:uid="{95E44AA5-BA31-4EFB-83A4-7F4D55BB8864}"/>
    <hyperlink ref="B6" r:id="rId2" xr:uid="{1F4F9E97-6970-41C9-9271-DA4C97160D77}"/>
    <hyperlink ref="B12" r:id="rId3" xr:uid="{E3561AED-6A24-4A6B-877E-BB31133012EF}"/>
    <hyperlink ref="B3" r:id="rId4" xr:uid="{6F787C5F-D532-4793-89EE-99B2B46C9D00}"/>
    <hyperlink ref="B14" r:id="rId5" xr:uid="{6E8D82B4-E953-4AB0-8F10-9EC5D319F869}"/>
    <hyperlink ref="B15" r:id="rId6" xr:uid="{E76B8D99-5817-4E97-8801-CF0613C23BA6}"/>
    <hyperlink ref="B21" r:id="rId7" display="mailto:recrutement@fichetgroup.com" xr:uid="{EAB257A5-B26E-4699-A73B-A1B97279CF50}"/>
    <hyperlink ref="D23" r:id="rId8" xr:uid="{84BA9E66-F01C-4BFC-8E68-0FD7A0EFC35B}"/>
    <hyperlink ref="D24" r:id="rId9" xr:uid="{69C27D8B-353E-4C09-81DB-B320D5A7542A}"/>
    <hyperlink ref="D28" r:id="rId10" xr:uid="{B91DE971-98AA-41D6-87B5-422AA64EE031}"/>
    <hyperlink ref="D29" r:id="rId11" display="https://www.linkedin.com/jobs/view/4336876955/?alternateChannel=search&amp;eBP=CwEAAAGavE1n5oJfdXwTmzkSiRFdgHqO8GHSwM44Fa_lT57jOR-IK2dUTgpj1SHDjbjTYl0TmjAzOs9Y40odEMImgEHYS3mJfVdy_m5FiYlP-reD7nr3lG_NnygFo04h8uIW6BjOFa6J43ZBJgNOq8tuLKlMjh61CZzeVxrT6peOF3HeBH41n4aRn-W8sLmp999z1CvhYzv-qsrAUnAbCavsKM0BEmt38FTQGFHgOBr5Pki_Mxy_qWv829waMBzwgqMmkzgmVWywSUeBrQqZYbYpYD7_I34Jj1_tu8dwBHyfh7rPxu1tuZ-dZKsBfmZEf8Oph76brtlosDY5eBzGoK55lvg9PSOh-sqMrqhtdw53Hv5rraH16qf9ZN0jKgloMubTKUjg-W5z9YhTVIF9UAe5M5RdVCf-kDB9qLXDfbtQlxv-FyRmswonLPB9bPLHCpq0MiMsBW_2D61bde4R5LL4xo2DCPAXeifVXum9BtZBqq2ku1fZ_3Or9olx3hvhxx5xsjRw&amp;refId=J9soHv4jEZiM51FMHZrtBw%3D%3D&amp;trackingId=jLAZCxY3%2FdoISTZYPD8ScA%3D%3D&amp;trk=d_flagship3_postapply_next_best_action" xr:uid="{28363DBB-A9F9-4A38-B976-38038CA962F7}"/>
    <hyperlink ref="E2" r:id="rId12" xr:uid="{D5892493-4834-4EB3-8516-5D8B2A1288DD}"/>
    <hyperlink ref="B5" r:id="rId13" xr:uid="{442482CE-B8E3-4F9A-91D6-7D0FDF632BE4}"/>
    <hyperlink ref="B7" r:id="rId14" xr:uid="{939DD432-A93A-49D6-BAD0-C9EAF7E2B942}"/>
    <hyperlink ref="B8" r:id="rId15" xr:uid="{F2D2DE96-537B-484B-8EFD-B5D16C4092B9}"/>
    <hyperlink ref="B9" r:id="rId16" xr:uid="{F5B3FCDD-5955-40E1-AAAA-A65986E37147}"/>
    <hyperlink ref="B10" r:id="rId17" xr:uid="{4BF80BB2-CFB7-4302-9ACB-0A6F92CABDC2}"/>
    <hyperlink ref="B11" r:id="rId18" xr:uid="{A32A641D-FA64-4407-A3FE-81E360A9B500}"/>
    <hyperlink ref="B32" r:id="rId19" xr:uid="{653F77DF-C697-4D95-82F6-7C98F7AC5593}"/>
    <hyperlink ref="B44" r:id="rId20" xr:uid="{33BFD80A-A8DE-451A-AF5D-E94B202E1B26}"/>
    <hyperlink ref="B48" r:id="rId21" xr:uid="{B91542A1-3D20-4DF0-8DB5-30E46B177D9C}"/>
    <hyperlink ref="B56" r:id="rId22" display="vincent.totey@anaya-france.eu / " xr:uid="{2866B7E9-C56B-4541-A44B-15D79232B6EE}"/>
    <hyperlink ref="B68" r:id="rId23" xr:uid="{C25F6342-1BC6-43B3-AA7B-F21D7087CC61}"/>
    <hyperlink ref="B98" r:id="rId24" xr:uid="{06130FC3-0CEF-4F16-9A54-FFC6225E7A80}"/>
    <hyperlink ref="B103" r:id="rId25" xr:uid="{FCDFE7AD-751E-4EC0-ADC6-9DCCDC11396B}"/>
    <hyperlink ref="B119" r:id="rId26" display="mailto:hr.fr@tp-link.com" xr:uid="{FC447202-45A4-4A37-8736-EC0E164BD679}"/>
    <hyperlink ref="B139" r:id="rId27" display="mailto:contact@auranext.com" xr:uid="{9632C508-D24F-4FED-B1F2-35F4F0BF0C10}"/>
    <hyperlink ref="B176" r:id="rId28" display="mailto:recrutements@vist-and.com" xr:uid="{914ED288-09DD-4080-9282-BA98AE5D801F}"/>
  </hyperlinks>
  <pageMargins left="0.7" right="0.7" top="0.75" bottom="0.75" header="0.3" footer="0.3"/>
  <tableParts count="1">
    <tablePart r:id="rId2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8FC-C77D-4325-AA8B-2DB58BF29737}">
  <dimension ref="A1:B14"/>
  <sheetViews>
    <sheetView workbookViewId="0">
      <selection activeCell="B16" sqref="B16"/>
    </sheetView>
  </sheetViews>
  <sheetFormatPr baseColWidth="10" defaultRowHeight="15" x14ac:dyDescent="0.25"/>
  <cols>
    <col min="1" max="1" width="19" customWidth="1"/>
    <col min="2" max="2" width="24.5703125" customWidth="1"/>
  </cols>
  <sheetData>
    <row r="1" spans="1:2" x14ac:dyDescent="0.25">
      <c r="A1" t="s">
        <v>72</v>
      </c>
      <c r="B1" t="s">
        <v>62</v>
      </c>
    </row>
    <row r="2" spans="1:2" x14ac:dyDescent="0.25">
      <c r="A2" s="5" t="s">
        <v>63</v>
      </c>
      <c r="B2" t="s">
        <v>73</v>
      </c>
    </row>
    <row r="3" spans="1:2" x14ac:dyDescent="0.25">
      <c r="A3" s="3" t="s">
        <v>49</v>
      </c>
      <c r="B3" t="s">
        <v>74</v>
      </c>
    </row>
    <row r="4" spans="1:2" x14ac:dyDescent="0.25">
      <c r="A4" s="6" t="s">
        <v>64</v>
      </c>
      <c r="B4" t="s">
        <v>112</v>
      </c>
    </row>
    <row r="5" spans="1:2" x14ac:dyDescent="0.25">
      <c r="A5" t="s">
        <v>102</v>
      </c>
      <c r="B5" t="s">
        <v>113</v>
      </c>
    </row>
    <row r="6" spans="1:2" x14ac:dyDescent="0.25">
      <c r="A6" t="s">
        <v>105</v>
      </c>
      <c r="B6" t="s">
        <v>76</v>
      </c>
    </row>
    <row r="7" spans="1:2" x14ac:dyDescent="0.25">
      <c r="B7" t="s">
        <v>114</v>
      </c>
    </row>
    <row r="8" spans="1:2" x14ac:dyDescent="0.25">
      <c r="B8" t="s">
        <v>115</v>
      </c>
    </row>
    <row r="9" spans="1:2" x14ac:dyDescent="0.25">
      <c r="B9" t="s">
        <v>75</v>
      </c>
    </row>
    <row r="10" spans="1:2" x14ac:dyDescent="0.25">
      <c r="B10" t="s">
        <v>116</v>
      </c>
    </row>
    <row r="11" spans="1:2" x14ac:dyDescent="0.25">
      <c r="B11" t="s">
        <v>77</v>
      </c>
    </row>
    <row r="12" spans="1:2" x14ac:dyDescent="0.25">
      <c r="B12" t="s">
        <v>21</v>
      </c>
    </row>
    <row r="13" spans="1:2" x14ac:dyDescent="0.25">
      <c r="B13" t="s">
        <v>105</v>
      </c>
    </row>
    <row r="14" spans="1:2" x14ac:dyDescent="0.25">
      <c r="B14" t="s">
        <v>203</v>
      </c>
    </row>
  </sheetData>
  <dataValidations count="1">
    <dataValidation type="list" allowBlank="1" showInputMessage="1" showErrorMessage="1" sqref="B2:B8" xr:uid="{464DAA46-8049-41AD-AF29-19A6E63DBC81}">
      <formula1>$B$2:$B$8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97C8BD7-5107-476E-A86B-4E1794EFA301}">
            <xm:f>NOT(ISERROR(SEARCH($A$4,B6)))</xm:f>
            <xm:f>$A$4</xm:f>
            <x14:dxf>
              <fill>
                <patternFill>
                  <bgColor rgb="FFFF0000"/>
                </patternFill>
              </fill>
            </x14:dxf>
          </x14:cfRule>
          <xm:sqref>B6:B9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1DD9C6-4013-40C3-A3D9-B765C54C3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Candidature</vt:lpstr>
      <vt:lpstr>Contact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Rei</dc:creator>
  <cp:lastModifiedBy>Rafael Rei</cp:lastModifiedBy>
  <dcterms:created xsi:type="dcterms:W3CDTF">2025-11-24T17:46:04Z</dcterms:created>
  <dcterms:modified xsi:type="dcterms:W3CDTF">2025-12-06T18:06:59Z</dcterms:modified>
</cp:coreProperties>
</file>