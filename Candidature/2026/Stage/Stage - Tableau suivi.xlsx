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W:\Licence PRO MRT\Candidature\Stage\"/>
    </mc:Choice>
  </mc:AlternateContent>
  <xr:revisionPtr revIDLastSave="0" documentId="13_ncr:1_{D9C1CE61-473B-4249-BD7B-C096F8E42FB2}" xr6:coauthVersionLast="47" xr6:coauthVersionMax="47" xr10:uidLastSave="{00000000-0000-0000-0000-000000000000}"/>
  <bookViews>
    <workbookView xWindow="38280" yWindow="-120" windowWidth="29040" windowHeight="15720" xr2:uid="{A3A85266-84E7-4DAC-8521-B115BD86E3D8}"/>
  </bookViews>
  <sheets>
    <sheet name="Candidature" sheetId="4" r:id="rId1"/>
    <sheet name="Crouz" sheetId="5" r:id="rId2"/>
    <sheet name="Contact" sheetId="2" r:id="rId3"/>
    <sheet name="Feuil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2" l="1"/>
  <c r="C18" i="2"/>
  <c r="C19" i="2"/>
  <c r="C20" i="2"/>
  <c r="C21" i="2"/>
  <c r="C22" i="2"/>
  <c r="C23" i="2"/>
  <c r="C24" i="2"/>
  <c r="C6" i="2"/>
  <c r="A14" i="2"/>
  <c r="A13" i="2"/>
  <c r="A10" i="2"/>
  <c r="C15" i="2" s="1"/>
  <c r="A9" i="2"/>
  <c r="C14" i="2" s="1"/>
  <c r="A7" i="2"/>
  <c r="C12" i="2" s="1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L40" i="4"/>
  <c r="L39" i="4"/>
  <c r="L38" i="4"/>
  <c r="L37" i="4"/>
  <c r="J38" i="4"/>
  <c r="J37" i="4"/>
  <c r="J39" i="4"/>
  <c r="A157" i="2"/>
  <c r="A158" i="2"/>
  <c r="A159" i="2"/>
  <c r="A151" i="2"/>
  <c r="A152" i="2"/>
  <c r="A153" i="2"/>
  <c r="A154" i="2"/>
  <c r="A155" i="2"/>
  <c r="A156" i="2"/>
  <c r="A149" i="2"/>
  <c r="A150" i="2"/>
  <c r="A143" i="2"/>
  <c r="A142" i="2"/>
  <c r="A144" i="2"/>
  <c r="A145" i="2"/>
  <c r="A146" i="2"/>
  <c r="A147" i="2"/>
  <c r="A148" i="2"/>
  <c r="A138" i="2"/>
  <c r="A139" i="2"/>
  <c r="A140" i="2"/>
  <c r="A141" i="2"/>
  <c r="A128" i="2"/>
  <c r="A129" i="2"/>
  <c r="A130" i="2"/>
  <c r="A131" i="2"/>
  <c r="A132" i="2"/>
  <c r="A133" i="2"/>
  <c r="A134" i="2"/>
  <c r="A135" i="2"/>
  <c r="A136" i="2"/>
  <c r="A137" i="2"/>
  <c r="A122" i="2"/>
  <c r="A123" i="2"/>
  <c r="A124" i="2"/>
  <c r="A125" i="2"/>
  <c r="A126" i="2"/>
  <c r="A127" i="2"/>
  <c r="A117" i="2"/>
  <c r="A118" i="2"/>
  <c r="A119" i="2"/>
  <c r="A120" i="2"/>
  <c r="A121" i="2"/>
  <c r="A114" i="2"/>
  <c r="A115" i="2"/>
  <c r="A116" i="2"/>
  <c r="A109" i="2"/>
  <c r="A110" i="2"/>
  <c r="A111" i="2"/>
  <c r="A112" i="2"/>
  <c r="A113" i="2"/>
  <c r="A101" i="2"/>
  <c r="A102" i="2"/>
  <c r="A103" i="2"/>
  <c r="A104" i="2"/>
  <c r="A105" i="2"/>
  <c r="A106" i="2"/>
  <c r="A107" i="2"/>
  <c r="A108" i="2"/>
  <c r="A95" i="2"/>
  <c r="A96" i="2"/>
  <c r="A97" i="2"/>
  <c r="A98" i="2"/>
  <c r="A99" i="2"/>
  <c r="A100" i="2"/>
  <c r="A87" i="2"/>
  <c r="A88" i="2"/>
  <c r="A89" i="2"/>
  <c r="A90" i="2"/>
  <c r="A91" i="2"/>
  <c r="A92" i="2"/>
  <c r="A93" i="2"/>
  <c r="A94" i="2"/>
  <c r="A83" i="2"/>
  <c r="A84" i="2"/>
  <c r="A85" i="2"/>
  <c r="A86" i="2"/>
  <c r="A81" i="2"/>
  <c r="A82" i="2"/>
  <c r="A80" i="2"/>
  <c r="A69" i="2"/>
  <c r="A70" i="2"/>
  <c r="A71" i="2"/>
  <c r="A72" i="2"/>
  <c r="A73" i="2"/>
  <c r="A74" i="2"/>
  <c r="A75" i="2"/>
  <c r="A76" i="2"/>
  <c r="A77" i="2"/>
  <c r="A78" i="2"/>
  <c r="A79" i="2"/>
  <c r="A62" i="2"/>
  <c r="A63" i="2"/>
  <c r="A64" i="2"/>
  <c r="A65" i="2"/>
  <c r="A66" i="2"/>
  <c r="A67" i="2"/>
  <c r="A68" i="2"/>
  <c r="A56" i="2"/>
  <c r="A57" i="2"/>
  <c r="A58" i="2"/>
  <c r="A59" i="2"/>
  <c r="A60" i="2"/>
  <c r="A61" i="2"/>
  <c r="A47" i="2"/>
  <c r="A48" i="2"/>
  <c r="A49" i="2"/>
  <c r="A50" i="2"/>
  <c r="A51" i="2"/>
  <c r="A52" i="2"/>
  <c r="A53" i="2"/>
  <c r="A54" i="2"/>
  <c r="A55" i="2"/>
  <c r="J2" i="2"/>
  <c r="J3" i="2"/>
  <c r="J4" i="2"/>
  <c r="J5" i="2"/>
  <c r="J6" i="2"/>
  <c r="J7" i="2"/>
  <c r="J1" i="2"/>
  <c r="A2" i="2"/>
  <c r="C7" i="2" s="1"/>
  <c r="A3" i="2"/>
  <c r="C8" i="2" s="1"/>
  <c r="A4" i="2"/>
  <c r="C9" i="2" s="1"/>
  <c r="A5" i="2"/>
  <c r="C10" i="2" s="1"/>
  <c r="A6" i="2"/>
  <c r="C11" i="2" s="1"/>
  <c r="A8" i="2"/>
  <c r="C13" i="2" s="1"/>
  <c r="A11" i="2"/>
  <c r="C16" i="2" s="1"/>
  <c r="A12" i="2"/>
  <c r="C17" i="2" s="1"/>
  <c r="A15" i="2"/>
  <c r="A16" i="2"/>
  <c r="A17" i="2"/>
  <c r="A18" i="2"/>
  <c r="A19" i="2"/>
  <c r="A20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J40" i="4" l="1"/>
</calcChain>
</file>

<file path=xl/sharedStrings.xml><?xml version="1.0" encoding="utf-8"?>
<sst xmlns="http://schemas.openxmlformats.org/spreadsheetml/2006/main" count="224" uniqueCount="170">
  <si>
    <t>Date</t>
  </si>
  <si>
    <t>Nom d'entreprise</t>
  </si>
  <si>
    <t>Offre</t>
  </si>
  <si>
    <t>Adresse mail</t>
  </si>
  <si>
    <t>Numéro de téléphone</t>
  </si>
  <si>
    <t>Retour</t>
  </si>
  <si>
    <t>Lieu</t>
  </si>
  <si>
    <t>A appeler</t>
  </si>
  <si>
    <t>En attente</t>
  </si>
  <si>
    <t>Nom hopital</t>
  </si>
  <si>
    <t>Style</t>
  </si>
  <si>
    <t>Candidature</t>
  </si>
  <si>
    <t>J'ai postulé</t>
  </si>
  <si>
    <t>Refus</t>
  </si>
  <si>
    <t>01.39.63.74.00</t>
  </si>
  <si>
    <t>Versaille</t>
  </si>
  <si>
    <t>Statut</t>
  </si>
  <si>
    <t>Spontanée</t>
  </si>
  <si>
    <t>Email</t>
  </si>
  <si>
    <t>LinkdIn</t>
  </si>
  <si>
    <t>HelloWork</t>
  </si>
  <si>
    <t>Indeed</t>
  </si>
  <si>
    <t>08 11 39 23 92</t>
  </si>
  <si>
    <t>Appel reçu</t>
  </si>
  <si>
    <t>alexandre.regis@vditelecom.fr</t>
  </si>
  <si>
    <t>Colonne1</t>
  </si>
  <si>
    <t>Appel émis</t>
  </si>
  <si>
    <t>Information</t>
  </si>
  <si>
    <t>Sp + Email</t>
  </si>
  <si>
    <t>Sp + HW</t>
  </si>
  <si>
    <t>H + Email</t>
  </si>
  <si>
    <t>Sp + Appel</t>
  </si>
  <si>
    <t>Sp + @ + Appel</t>
  </si>
  <si>
    <t>01 34 90 06 08</t>
  </si>
  <si>
    <t>Type</t>
  </si>
  <si>
    <t>Télécom</t>
  </si>
  <si>
    <t>ESN</t>
  </si>
  <si>
    <t>rh@opteamis.com</t>
  </si>
  <si>
    <t>contact@shape-it.io</t>
  </si>
  <si>
    <t>01.46.07.52.44</t>
  </si>
  <si>
    <t>06 74 90 27 94</t>
  </si>
  <si>
    <t>vincent.totey@anaya-france.eu / recrutement@anaya.fr</t>
  </si>
  <si>
    <t>contact@groupe-gth.com</t>
  </si>
  <si>
    <t>01 47 61 96 31</t>
  </si>
  <si>
    <t>Mairie</t>
  </si>
  <si>
    <t>La Bonne Alternance</t>
  </si>
  <si>
    <t>Contact@agexis.com</t>
  </si>
  <si>
    <t>infos@telecoms-entreprises.com</t>
  </si>
  <si>
    <t>01.80.18.86.86</t>
  </si>
  <si>
    <t>FAI</t>
  </si>
  <si>
    <t>01.56.47.01.40</t>
  </si>
  <si>
    <t>hr.fr@tp-link.com</t>
  </si>
  <si>
    <t>contact@auranext.com.</t>
  </si>
  <si>
    <t>Colonne2</t>
  </si>
  <si>
    <t>Colonne3</t>
  </si>
  <si>
    <t>Colonne4</t>
  </si>
  <si>
    <t xml:space="preserve">Appel reçu </t>
  </si>
  <si>
    <t>Total</t>
  </si>
  <si>
    <t>recrutements@vist-and.com </t>
  </si>
  <si>
    <t>Orange</t>
  </si>
  <si>
    <t>Technicien Service Client</t>
  </si>
  <si>
    <t>Conseiller Client Back Office</t>
  </si>
  <si>
    <t>Télécoms</t>
  </si>
  <si>
    <t>Chargé(e) de Projet</t>
  </si>
  <si>
    <t>Mise en Place d'Une Solution de Virtualisation</t>
  </si>
  <si>
    <t>Safran</t>
  </si>
  <si>
    <t>Création d'Un Outil de Gestion et de Capitalisation</t>
  </si>
  <si>
    <t>MBDA</t>
  </si>
  <si>
    <t>Développement Informatique</t>
  </si>
  <si>
    <t>SUEZ</t>
  </si>
  <si>
    <t>Développement d'Un Site Intranet Métier</t>
  </si>
  <si>
    <t>Ingénieur Informatique Embarqué</t>
  </si>
  <si>
    <t>Charge de Projets Systemes Informatiques</t>
  </si>
  <si>
    <t>Dassault Systèmes</t>
  </si>
  <si>
    <t>EDF</t>
  </si>
  <si>
    <t>Ingénieure ou Ingénieur Informatique</t>
  </si>
  <si>
    <t>Ariane Group</t>
  </si>
  <si>
    <t>Technicienne - Technicien Informatique</t>
  </si>
  <si>
    <t>RTE</t>
  </si>
  <si>
    <t>Chef de Projets Informatique</t>
  </si>
  <si>
    <t>Ingénieur·e Réseau Informatique </t>
  </si>
  <si>
    <t>Groupe SII</t>
  </si>
  <si>
    <t>Technicien·ne Support et Réseau</t>
  </si>
  <si>
    <t>Evidensee</t>
  </si>
  <si>
    <t>Administrateur Réseaux et Systèmes</t>
  </si>
  <si>
    <t>OTC FLOW FRANCE</t>
  </si>
  <si>
    <t>technicien Supérieur Systèmes et Réseaux</t>
  </si>
  <si>
    <t>Spie</t>
  </si>
  <si>
    <t>Chef de projet Telecom </t>
  </si>
  <si>
    <t>Bureau Veritas</t>
  </si>
  <si>
    <t>Ingénieur systèmes d'informations et réseaux</t>
  </si>
  <si>
    <t>Groupe SETEC</t>
  </si>
  <si>
    <t>Technicien Informatique Systèmes &amp; Réseaux</t>
  </si>
  <si>
    <t>ROUX Informatique</t>
  </si>
  <si>
    <t>Socotec</t>
  </si>
  <si>
    <t>01 40 60 80 80</t>
  </si>
  <si>
    <t>01 71 54 10 00</t>
  </si>
  <si>
    <t>01 58 81 20 00</t>
  </si>
  <si>
    <t>01 30 12 80 00</t>
  </si>
  <si>
    <t>01 61 62 61 62</t>
  </si>
  <si>
    <t>01 40 42 22 22</t>
  </si>
  <si>
    <t>01 39 06 12 34</t>
  </si>
  <si>
    <t>01 41 02 23 45</t>
  </si>
  <si>
    <t>01 53 92 37 00</t>
  </si>
  <si>
    <t>01 88 24 25 17</t>
  </si>
  <si>
    <t>01 34 41 81 81</t>
  </si>
  <si>
    <t>09 69 39 10 09</t>
  </si>
  <si>
    <t>01 82 51 68 00</t>
  </si>
  <si>
    <t>01 88 40 53 06</t>
  </si>
  <si>
    <t>Ne correspond pas aux prérequis</t>
  </si>
  <si>
    <t>Pas adapté</t>
  </si>
  <si>
    <t>Evry</t>
  </si>
  <si>
    <t>Résidence Louise Bourgeois</t>
  </si>
  <si>
    <t>Antony</t>
  </si>
  <si>
    <t>Train</t>
  </si>
  <si>
    <t>Voiture</t>
  </si>
  <si>
    <t>26 min</t>
  </si>
  <si>
    <t>43 min</t>
  </si>
  <si>
    <t>Logement individuel - Evry- Aunettes</t>
  </si>
  <si>
    <t>500 euro</t>
  </si>
  <si>
    <t>Euro</t>
  </si>
  <si>
    <t>260  euro</t>
  </si>
  <si>
    <t>1h27</t>
  </si>
  <si>
    <t>1h15</t>
  </si>
  <si>
    <t>Logement individuel</t>
  </si>
  <si>
    <t>Résidence Les écuries Malaquais</t>
  </si>
  <si>
    <t>45 min</t>
  </si>
  <si>
    <t>59 min</t>
  </si>
  <si>
    <t>35 min</t>
  </si>
  <si>
    <t>400 euro</t>
  </si>
  <si>
    <t>30 min</t>
  </si>
  <si>
    <t>Boulogne Billancourt</t>
  </si>
  <si>
    <t>Saint-Cloud</t>
  </si>
  <si>
    <t>Résidence Simone Weil</t>
  </si>
  <si>
    <t>Bures sur Yvette</t>
  </si>
  <si>
    <t>Orsay-L Ile</t>
  </si>
  <si>
    <t>401 euro</t>
  </si>
  <si>
    <t>37 min</t>
  </si>
  <si>
    <t>Collocation</t>
  </si>
  <si>
    <t>180 euro</t>
  </si>
  <si>
    <t>Ulis</t>
  </si>
  <si>
    <t>Les ULIS</t>
  </si>
  <si>
    <t>51 min</t>
  </si>
  <si>
    <t>28-1h</t>
  </si>
  <si>
    <t>Agent d'accueil Week End</t>
  </si>
  <si>
    <t>CDI</t>
  </si>
  <si>
    <t>Colonne5</t>
  </si>
  <si>
    <t>Paris 14 ème</t>
  </si>
  <si>
    <t>9.81</t>
  </si>
  <si>
    <t>La Sirène de Paris</t>
  </si>
  <si>
    <t>1h08</t>
  </si>
  <si>
    <t>Meudon</t>
  </si>
  <si>
    <t>Chambre</t>
  </si>
  <si>
    <t>470 </t>
  </si>
  <si>
    <t>chez un propriétaire</t>
  </si>
  <si>
    <t>L'Haÿ-les-Roses</t>
  </si>
  <si>
    <t>4 min</t>
  </si>
  <si>
    <t>10 min</t>
  </si>
  <si>
    <t>590 </t>
  </si>
  <si>
    <t>en colocation</t>
  </si>
  <si>
    <t>Villejuif</t>
  </si>
  <si>
    <t>600 </t>
  </si>
  <si>
    <t>indépendant</t>
  </si>
  <si>
    <t>471 </t>
  </si>
  <si>
    <t>Studio T1</t>
  </si>
  <si>
    <t>Paris 18 ème</t>
  </si>
  <si>
    <t>1h</t>
  </si>
  <si>
    <t>55 min</t>
  </si>
  <si>
    <t>Issy les Moulineaux</t>
  </si>
  <si>
    <t>Stage soutien informatique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</si>
</sst>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3" borderId="0" xfId="0" applyFill="1"/>
    <xf numFmtId="0" fontId="0" fillId="2" borderId="0" xfId="0" applyFill="1"/>
    <xf numFmtId="0" fontId="2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4" fontId="0" fillId="3" borderId="0" xfId="0" applyNumberFormat="1" applyFill="1"/>
    <xf numFmtId="0" fontId="0" fillId="8" borderId="0" xfId="0" applyFill="1"/>
    <xf numFmtId="14" fontId="2" fillId="0" borderId="0" xfId="0" applyNumberFormat="1" applyFont="1"/>
    <xf numFmtId="0" fontId="2" fillId="0" borderId="0" xfId="0" applyFont="1"/>
    <xf numFmtId="14" fontId="0" fillId="0" borderId="0" xfId="0" applyNumberFormat="1"/>
    <xf numFmtId="0" fontId="1" fillId="0" borderId="0" xfId="1" applyFill="1"/>
    <xf numFmtId="0" fontId="4" fillId="0" borderId="0" xfId="0" applyFont="1"/>
    <xf numFmtId="0" fontId="3" fillId="0" borderId="0" xfId="1" applyFont="1" applyFill="1"/>
    <xf numFmtId="14" fontId="0" fillId="8" borderId="0" xfId="0" applyNumberFormat="1" applyFill="1"/>
    <xf numFmtId="0" fontId="1" fillId="8" borderId="0" xfId="1" applyFill="1"/>
    <xf numFmtId="14" fontId="1" fillId="0" borderId="0" xfId="1" applyNumberFormat="1" applyFill="1"/>
    <xf numFmtId="0" fontId="1" fillId="0" borderId="0" xfId="1"/>
    <xf numFmtId="14" fontId="1" fillId="0" borderId="0" xfId="1" applyNumberFormat="1"/>
    <xf numFmtId="0" fontId="1" fillId="3" borderId="0" xfId="1" applyFill="1"/>
    <xf numFmtId="0" fontId="1" fillId="0" borderId="0" xfId="1" applyNumberFormat="1" applyFill="1"/>
    <xf numFmtId="20" fontId="0" fillId="8" borderId="0" xfId="0" applyNumberFormat="1" applyFill="1"/>
    <xf numFmtId="0" fontId="0" fillId="4" borderId="0" xfId="0" applyFill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1" fillId="0" borderId="0" xfId="1" applyAlignment="1">
      <alignment horizontal="right"/>
    </xf>
  </cellXfs>
  <cellStyles count="2">
    <cellStyle name="Lien hypertexte" xfId="1" builtinId="8"/>
    <cellStyle name="Normal" xfId="0" builtinId="0"/>
  </cellStyles>
  <dxfs count="53">
    <dxf>
      <fill>
        <patternFill>
          <bgColor rgb="FFFF0000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color rgb="FFFFC000"/>
      </font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</dxf>
    <dxf>
      <border diagonalDown="1">
        <bottom style="medium">
          <color auto="1"/>
        </bottom>
        <diagonal style="medium">
          <color auto="1"/>
        </diagonal>
      </border>
    </dxf>
    <dxf>
      <fill>
        <patternFill>
          <bgColor theme="9" tint="0.59996337778862885"/>
        </patternFill>
      </fill>
    </dxf>
    <dxf>
      <border>
        <left style="thick">
          <color auto="1"/>
        </left>
      </border>
    </dxf>
    <dxf>
      <border>
        <left style="medium">
          <color theme="1"/>
        </left>
        <vertical style="thin">
          <color theme="3" tint="9.9887081514938816E-2"/>
        </vertical>
        <horizontal style="medium">
          <color theme="1"/>
        </horizontal>
      </border>
    </dxf>
    <dxf>
      <fill>
        <patternFill>
          <bgColor theme="3" tint="0.89996032593768116"/>
        </patternFill>
      </fill>
      <border diagonalUp="1">
        <left style="medium">
          <color auto="1"/>
        </left>
        <top/>
        <bottom/>
        <diagonal style="medium">
          <color auto="1"/>
        </diagonal>
        <vertical style="thin">
          <color theme="3" tint="0.24994659260841701"/>
        </vertical>
        <horizontal style="medium">
          <color auto="1"/>
        </horizontal>
      </border>
    </dxf>
    <dxf>
      <border>
        <bottom style="medium">
          <color auto="1"/>
        </bottom>
      </border>
    </dxf>
    <dxf>
      <fill>
        <patternFill>
          <bgColor theme="5" tint="0.79998168889431442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horizontal style="medium">
          <color auto="1"/>
        </horizontal>
      </border>
    </dxf>
    <dxf>
      <border diagonalUp="1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diagonal style="thick">
          <color theme="1"/>
        </diagonal>
        <vertical/>
        <horizontal/>
      </border>
    </dxf>
  </dxfs>
  <tableStyles count="1" defaultTableStyle="TableStyleMedium2" defaultPivotStyle="PivotStyleLight16">
    <tableStyle name="Style de tableau 1" pivot="0" count="8" xr9:uid="{95B9B8D4-970F-46CE-8129-4A923037E065}">
      <tableStyleElement type="wholeTable" dxfId="52"/>
      <tableStyleElement type="headerRow" dxfId="51"/>
      <tableStyleElement type="totalRow" dxfId="50"/>
      <tableStyleElement type="firstRowStripe" dxfId="49"/>
      <tableStyleElement type="secondRowStripe" dxfId="48"/>
      <tableStyleElement type="firstColumnStripe" dxfId="47"/>
      <tableStyleElement type="firstHeaderCell" dxfId="46"/>
      <tableStyleElement type="lastTotalCell" dxfId="4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fournisseurs+d%27Acc%C3%A8s+%C3%A0+Internet+candidature+spontan%C3%A9e&amp;sca_esv=a63806a710cbffd6&amp;biw=2048&amp;bih=1044&amp;ei=7ngsaZySApKZkdUPy-TCmQc&amp;start=120&amp;sa=N&amp;ved=2ahUKEwicwfjBrZqRAxWSTKQEHUuyMHM4bhDy0wN6BAgJEA8" TargetMode="External"/><Relationship Id="rId2" Type="http://schemas.openxmlformats.org/officeDocument/2006/relationships/hyperlink" Target="https://www.google.com/search?q=esn+candidature+spontan%C3%A9e&amp;sca_esv=7cb5a2c0938f91b5&amp;biw=2048&amp;bih=1044&amp;ei=sSYqaabvF4eIkdUP0NCt-QQ&amp;start=140&amp;sa=N&amp;ved=2ahUKEwjmi6Hn9pWRAxUHRKQEHVBoK084ggEQ8tMDegQICRAP" TargetMode="External"/><Relationship Id="rId1" Type="http://schemas.openxmlformats.org/officeDocument/2006/relationships/hyperlink" Target="https://www.google.com/search?q=entreprise+telecom+spontan%C3%A9e&amp;sca_esv=a4306da362cb3c28&amp;biw=2048&amp;bih=1044&amp;ei=ZEIuaY2DD-WwkdUPv9_hgAQ&amp;start=160&amp;sa=N&amp;ved=2ahUKEwiNxbjk4Z2RAxVlWKQEHb9vGEA4lgEQ8tMDegQICRAP" TargetMode="External"/><Relationship Id="rId4" Type="http://schemas.openxmlformats.org/officeDocument/2006/relationships/hyperlink" Target="https://www.google.com/search?q=Mairie+Yvelins+candidature+spontan%C3%A9e&amp;sca_esv=3667fffe2cbb1e60&amp;biw=2048&amp;bih=1044&amp;ei=1IosabnUEZ6fkdUPoYjS0QI&amp;start=30&amp;sa=N&amp;sstk=Af77f_e5yicelpXdaah5P-EeaslyDUCmB85lCleF9wHpFGiBlln5ls8fEANXJMcv_qHrmiwbw97n1yVgz3HiD_DBt6EdCUAke3G6JVH_ap0ZVhFORMcAo4sbGteT7IXlAbyU0nq-cY1a3Z0lAp0n3ofAvca1hHc3pyM&amp;ved=2ahUKEwi5jvfKvpqRAxWeT6QEHSGENCo4FBDy0wN6BAgJEAk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198905</xdr:colOff>
      <xdr:row>1</xdr:row>
      <xdr:rowOff>68915</xdr:rowOff>
    </xdr:from>
    <xdr:to>
      <xdr:col>13</xdr:col>
      <xdr:colOff>398930</xdr:colOff>
      <xdr:row>24</xdr:row>
      <xdr:rowOff>49866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E0CBA9E-88B8-4CBE-B25E-E09BA89FCC58}"/>
            </a:ext>
          </a:extLst>
        </xdr:cNvPr>
        <xdr:cNvSpPr/>
      </xdr:nvSpPr>
      <xdr:spPr>
        <a:xfrm>
          <a:off x="10205758" y="259415"/>
          <a:ext cx="4772025" cy="4362451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Madame, Monsieur,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Je m'appelle REI Rafael et suis actuellement en recherche d’un contrat d'apprentissage pour ma licence PRO Métiers des Réseaux Informatiques et Télécommunications. Je suis étudiant à l’Université Paris-Saclay.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Je me permets de vous contacter pour savoir si vous pouvez prendre des alternants en informatique.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J'ai récemment obtenu un BTS Système Numérique Informatique et Réseau en alternance chez Orange en tant qu’Expert et Assistance National Home.  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 cours de mon alternance, je devais résoudre en autonomie les litiges clients avec des outils de supervision et de la gestion du parc informatique.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Je vous prie de retrouver ci-joint mon CV.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Je suis disponible pour un entretien afin d'échanger sur la manière dont mon projet d'alternance peut s'aligner avec vos besoins.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Cordialement,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REI Rafael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06.83.38.52.10</a:t>
          </a:r>
        </a:p>
        <a:p>
          <a:pPr algn="l"/>
          <a:endParaRPr lang="fr-FR" sz="1100"/>
        </a:p>
      </xdr:txBody>
    </xdr:sp>
    <xdr:clientData/>
  </xdr:twoCellAnchor>
  <xdr:twoCellAnchor>
    <xdr:from>
      <xdr:col>7</xdr:col>
      <xdr:colOff>295274</xdr:colOff>
      <xdr:row>26</xdr:row>
      <xdr:rowOff>123825</xdr:rowOff>
    </xdr:from>
    <xdr:to>
      <xdr:col>9</xdr:col>
      <xdr:colOff>542925</xdr:colOff>
      <xdr:row>28</xdr:row>
      <xdr:rowOff>38100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DF28CB-CF07-458D-B966-EDF70BDC6C2F}"/>
            </a:ext>
          </a:extLst>
        </xdr:cNvPr>
        <xdr:cNvSpPr/>
      </xdr:nvSpPr>
      <xdr:spPr>
        <a:xfrm>
          <a:off x="6438899" y="5076825"/>
          <a:ext cx="1771651" cy="295275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Entreprise Télécom -Page 17 </a:t>
          </a:r>
        </a:p>
      </xdr:txBody>
    </xdr:sp>
    <xdr:clientData/>
  </xdr:twoCellAnchor>
  <xdr:twoCellAnchor>
    <xdr:from>
      <xdr:col>10</xdr:col>
      <xdr:colOff>190500</xdr:colOff>
      <xdr:row>26</xdr:row>
      <xdr:rowOff>133350</xdr:rowOff>
    </xdr:from>
    <xdr:to>
      <xdr:col>12</xdr:col>
      <xdr:colOff>438151</xdr:colOff>
      <xdr:row>28</xdr:row>
      <xdr:rowOff>47625</xdr:rowOff>
    </xdr:to>
    <xdr:sp macro="" textlink="">
      <xdr:nvSpPr>
        <xdr:cNvPr id="4" name="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33F23A-69CF-4777-8BA3-D5A5FE214A1A}"/>
            </a:ext>
          </a:extLst>
        </xdr:cNvPr>
        <xdr:cNvSpPr/>
      </xdr:nvSpPr>
      <xdr:spPr>
        <a:xfrm>
          <a:off x="10182225" y="5086350"/>
          <a:ext cx="1771651" cy="295275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Entreprise ESN - Page 15 </a:t>
          </a:r>
        </a:p>
      </xdr:txBody>
    </xdr:sp>
    <xdr:clientData/>
  </xdr:twoCellAnchor>
  <xdr:twoCellAnchor>
    <xdr:from>
      <xdr:col>7</xdr:col>
      <xdr:colOff>295275</xdr:colOff>
      <xdr:row>29</xdr:row>
      <xdr:rowOff>142875</xdr:rowOff>
    </xdr:from>
    <xdr:to>
      <xdr:col>9</xdr:col>
      <xdr:colOff>542926</xdr:colOff>
      <xdr:row>31</xdr:row>
      <xdr:rowOff>57150</xdr:rowOff>
    </xdr:to>
    <xdr:sp macro="" textlink="">
      <xdr:nvSpPr>
        <xdr:cNvPr id="6" name="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6326B24-05AF-0F4D-248F-5908A76E9152}"/>
            </a:ext>
          </a:extLst>
        </xdr:cNvPr>
        <xdr:cNvSpPr/>
      </xdr:nvSpPr>
      <xdr:spPr>
        <a:xfrm>
          <a:off x="8001000" y="5667375"/>
          <a:ext cx="1771651" cy="295275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FAI - Page 13</a:t>
          </a:r>
        </a:p>
      </xdr:txBody>
    </xdr:sp>
    <xdr:clientData/>
  </xdr:twoCellAnchor>
  <xdr:twoCellAnchor>
    <xdr:from>
      <xdr:col>10</xdr:col>
      <xdr:colOff>247650</xdr:colOff>
      <xdr:row>29</xdr:row>
      <xdr:rowOff>161925</xdr:rowOff>
    </xdr:from>
    <xdr:to>
      <xdr:col>12</xdr:col>
      <xdr:colOff>495301</xdr:colOff>
      <xdr:row>31</xdr:row>
      <xdr:rowOff>76200</xdr:rowOff>
    </xdr:to>
    <xdr:sp macro="" textlink="">
      <xdr:nvSpPr>
        <xdr:cNvPr id="7" name="Rectangl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B9921C4-E200-4FDA-90D8-35C0D16B16A5}"/>
            </a:ext>
          </a:extLst>
        </xdr:cNvPr>
        <xdr:cNvSpPr/>
      </xdr:nvSpPr>
      <xdr:spPr>
        <a:xfrm>
          <a:off x="10239375" y="5686425"/>
          <a:ext cx="1771651" cy="295275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Mairie - Page 4 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D18479-DB77-494E-900D-73F90E203D09}" name="Tableau15" displayName="Tableau15" ref="A1:F25" totalsRowShown="0">
  <autoFilter ref="A1:F25" xr:uid="{64D18479-DB77-494E-900D-73F90E203D09}"/>
  <tableColumns count="6">
    <tableColumn id="1" xr3:uid="{E9C10C78-7E70-4DEB-8DAB-0CA99E684624}" name="Date"/>
    <tableColumn id="7" xr3:uid="{5C89BF4C-2570-42EC-A643-28D346D8387E}" name="Type" dataDxfId="44"/>
    <tableColumn id="2" xr3:uid="{025802D7-D503-4E3A-BDBB-CFE42E76BBB4}" name="Nom d'entreprise"/>
    <tableColumn id="3" xr3:uid="{8931E54D-E9EF-447D-B614-E81FA8D45176}" name="Offre"/>
    <tableColumn id="4" xr3:uid="{D8A7DCC7-BBF8-4061-931E-F0EF2EC6F3EF}" name="Retour"/>
    <tableColumn id="5" xr3:uid="{05099645-97CB-444F-BE12-38A4BE7FD071}" name="Information" dataDxfId="43"/>
  </tableColumns>
  <tableStyleInfo name="Style de tableau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1227D2-77EC-4508-BD57-DAF433E01060}" name="Tableau2" displayName="Tableau2" ref="I36:L40" totalsRowShown="0" headerRowDxfId="42" dataDxfId="41">
  <autoFilter ref="I36:L40" xr:uid="{431227D2-77EC-4508-BD57-DAF433E01060}"/>
  <tableColumns count="4">
    <tableColumn id="1" xr3:uid="{295E0908-1B89-4770-95A6-467C486B4CF3}" name="Colonne1" dataDxfId="40"/>
    <tableColumn id="2" xr3:uid="{76846E8E-6BB4-4F15-A27F-1FF92BC787D4}" name="Colonne2" dataDxfId="39">
      <calculatedColumnFormula>COUNTIF(E1:E410, "*Appel reçu*")</calculatedColumnFormula>
    </tableColumn>
    <tableColumn id="5" xr3:uid="{82E64510-D6F3-43EA-8BF5-95F1E1885C73}" name="Colonne3" dataDxfId="38"/>
    <tableColumn id="6" xr3:uid="{12B1E7A2-F59B-4268-B8B4-7F90E265B9E6}" name="Colonne4" dataDxfId="37">
      <calculatedColumnFormula>COUNTIF(B1:B410, "*ESN*")</calculatedColumnFormula>
    </tableColumn>
  </tableColumns>
  <tableStyleInfo name="Style de tableau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C36841-51DC-4866-9BBB-45D9A2422FFC}" name="Tableau2892" displayName="Tableau2892" ref="A1:G21" totalsRowShown="0" headerRowDxfId="36" dataDxfId="35">
  <autoFilter ref="A1:G21" xr:uid="{33C36841-51DC-4866-9BBB-45D9A2422FFC}"/>
  <tableColumns count="7">
    <tableColumn id="1" xr3:uid="{535ED08A-257B-4923-A0B3-196B3E28AC77}" name="Date" dataDxfId="34"/>
    <tableColumn id="2" xr3:uid="{7839075F-A46C-4759-B634-4AF3B8C0285E}" name="Nom hopital" dataDxfId="33"/>
    <tableColumn id="3" xr3:uid="{F3F5E710-1C5C-4DBA-BE1D-B6C61D0B836E}" name="Style" dataDxfId="32"/>
    <tableColumn id="4" xr3:uid="{473D87A7-2D79-43A9-9E5D-CE356FE8AA07}" name="Voiture" dataDxfId="31"/>
    <tableColumn id="5" xr3:uid="{DAE835A6-5C33-4713-A4D9-F556853161FD}" name="Train" dataDxfId="30"/>
    <tableColumn id="6" xr3:uid="{CB4EDCB7-8174-4559-8261-9E0DF4C2C7F4}" name="Euro" dataDxfId="29"/>
    <tableColumn id="7" xr3:uid="{549DE1D6-75C4-496F-8BB3-D390604F6F60}" name="Type" dataDxfId="28"/>
  </tableColumns>
  <tableStyleInfo name="Style de tableau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481797-9555-44CC-A130-7C1C42B04235}" name="Tableau3" displayName="Tableau3" ref="L1:P8" totalsRowShown="0" headerRowDxfId="27" dataDxfId="26">
  <autoFilter ref="L1:P8" xr:uid="{05481797-9555-44CC-A130-7C1C42B04235}"/>
  <tableColumns count="5">
    <tableColumn id="1" xr3:uid="{446FF128-5BFE-4648-9D0E-65576B8DA4AC}" name="Colonne1" dataDxfId="25"/>
    <tableColumn id="2" xr3:uid="{CB128C5E-208B-4803-94DF-0801F3A044F0}" name="Colonne2" dataDxfId="24"/>
    <tableColumn id="3" xr3:uid="{278F810F-32EA-4594-BB90-C9F0C61F6E3C}" name="Colonne3" dataDxfId="23"/>
    <tableColumn id="4" xr3:uid="{97128F03-79F4-4A53-BC54-7AAA114982B1}" name="Colonne4" dataDxfId="22"/>
    <tableColumn id="5" xr3:uid="{4DF5ABA6-37B6-44CD-8B37-EC467D69406C}" name="Colonne5" dataDxfId="21"/>
  </tableColumns>
  <tableStyleInfo name="Style de tableau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D8CE3C-D927-48DD-86BA-29B952A81CB3}" name="Tableau5" displayName="Tableau5" ref="A1:E187" totalsRowShown="0">
  <autoFilter ref="A1:E187" xr:uid="{CBD8CE3C-D927-48DD-86BA-29B952A81CB3}"/>
  <tableColumns count="5">
    <tableColumn id="1" xr3:uid="{45F6537D-744B-41DC-AA54-2C1EC06C3070}" name="Nom d'entreprise" dataDxfId="20">
      <calculatedColumnFormula>Candidature!C2</calculatedColumnFormula>
    </tableColumn>
    <tableColumn id="2" xr3:uid="{D3C5E84D-28FD-4E69-8566-BCED6D67F376}" name="Numéro de téléphone" dataDxfId="19"/>
    <tableColumn id="3" xr3:uid="{FDE8395D-00D3-4D1B-BEF0-57D822D6822A}" name="Adresse mail" dataDxfId="18"/>
    <tableColumn id="4" xr3:uid="{AE31C5C8-26A9-41C3-9471-AF9A3E28B283}" name="Offre" dataDxfId="17"/>
    <tableColumn id="5" xr3:uid="{910D0448-E2E1-486E-B81A-4DEA1CC43D88}" name="Colonne1" dataDxfId="16"/>
  </tableColumns>
  <tableStyleInfo name="Style de tableau 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ellowork.com/fr-fr/emplois/71484963.html" TargetMode="External"/><Relationship Id="rId13" Type="http://schemas.openxmlformats.org/officeDocument/2006/relationships/hyperlink" Target="https://www.hellowork.com/fr-fr/emplois/73270846.html" TargetMode="External"/><Relationship Id="rId18" Type="http://schemas.openxmlformats.org/officeDocument/2006/relationships/hyperlink" Target="https://www.hellowork.com/fr-fr/emplois/62629097.html" TargetMode="External"/><Relationship Id="rId26" Type="http://schemas.openxmlformats.org/officeDocument/2006/relationships/table" Target="../tables/table2.xml"/><Relationship Id="rId3" Type="http://schemas.openxmlformats.org/officeDocument/2006/relationships/hyperlink" Target="https://orange.jobs/fr/fr/job/CTS-2025-47453/Stage-Charg%C3%A9-e-de-Projet-F-H" TargetMode="External"/><Relationship Id="rId21" Type="http://schemas.openxmlformats.org/officeDocument/2006/relationships/hyperlink" Target="https://fr.indeed.com/viewjob?jk=a5968678c83beca0&amp;tk=1jci0t3j5iohs874&amp;from=serp&amp;vjs=3" TargetMode="External"/><Relationship Id="rId7" Type="http://schemas.openxmlformats.org/officeDocument/2006/relationships/hyperlink" Target="https://www.hellowork.com/fr-fr/emplois/72559710.html" TargetMode="External"/><Relationship Id="rId12" Type="http://schemas.openxmlformats.org/officeDocument/2006/relationships/hyperlink" Target="https://www.hellowork.com/fr-fr/emplois/71451861.html" TargetMode="External"/><Relationship Id="rId17" Type="http://schemas.openxmlformats.org/officeDocument/2006/relationships/hyperlink" Target="https://www.hellowork.com/fr-fr/entreprises/otc-flow-france-175918.html" TargetMode="External"/><Relationship Id="rId25" Type="http://schemas.openxmlformats.org/officeDocument/2006/relationships/table" Target="../tables/table1.xml"/><Relationship Id="rId2" Type="http://schemas.openxmlformats.org/officeDocument/2006/relationships/hyperlink" Target="https://orange.jobs/fr/fr/job/CTS-2025-47112/Stage-OW-OWF-Conseiller-Client-Back-Office-F-H" TargetMode="External"/><Relationship Id="rId16" Type="http://schemas.openxmlformats.org/officeDocument/2006/relationships/hyperlink" Target="https://www.hellowork.com/fr-fr/emplois/73605597.html" TargetMode="External"/><Relationship Id="rId20" Type="http://schemas.openxmlformats.org/officeDocument/2006/relationships/hyperlink" Target="https://fr.indeed.com/cmp/Bureau-Veritas?campaignid=mobvjcmp&amp;from=mobviewjob&amp;tk=1jci0pqbm2e7806e&amp;fromjk=a039a62079918e3a" TargetMode="External"/><Relationship Id="rId1" Type="http://schemas.openxmlformats.org/officeDocument/2006/relationships/hyperlink" Target="https://orange.jobs/fr/fr/job/CTS-2025-47156/Stage-Technicien-Service-Client-F-H" TargetMode="External"/><Relationship Id="rId6" Type="http://schemas.openxmlformats.org/officeDocument/2006/relationships/hyperlink" Target="https://www.hellowork.com/fr-fr/emplois/73493153.html" TargetMode="External"/><Relationship Id="rId11" Type="http://schemas.openxmlformats.org/officeDocument/2006/relationships/hyperlink" Target="https://www.hellowork.com/fr-fr/emplois/73275200.html" TargetMode="External"/><Relationship Id="rId24" Type="http://schemas.openxmlformats.org/officeDocument/2006/relationships/drawing" Target="../drawings/drawing1.xml"/><Relationship Id="rId5" Type="http://schemas.openxmlformats.org/officeDocument/2006/relationships/hyperlink" Target="https://www.hellowork.com/fr-fr/emplois/71090744.html" TargetMode="External"/><Relationship Id="rId15" Type="http://schemas.openxmlformats.org/officeDocument/2006/relationships/hyperlink" Target="https://www.hellowork.com/fr-fr/emplois/72284818.html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www.hellowork.com/fr-fr/emplois/73592974.html" TargetMode="External"/><Relationship Id="rId19" Type="http://schemas.openxmlformats.org/officeDocument/2006/relationships/hyperlink" Target="https://fr.indeed.com/viewjob?jk=a039a62079918e3a&amp;q=stage+telecom&amp;tk=1jci0pidiiah786t&amp;from=web&amp;advn=6086236954828981&amp;adid=437800130&amp;ad=-6NYlbfkN0BgVX15NaaLQVdLs7cuu43UyuP_WGTEibeUsGwIssmPQZvld_Rvoju1FlFqSDU-7d4PPhih9JbyF5AMNs25uoEnXGayWPrD5a7rLEBG4KBOARZwM1U0jY-iCiKiBgfwDQiH74imAFtuaaVlYi3auTKl1dtBixh5inVtoMm0cEZQJ4tYBw6qXoND3NRTKTMmYMyT7T0SFrpdkvGmd_yz3A0ydWo4a6SqyEJODz0vE75e3yl4XSNM2TMEHcu6FsLOvZB0VqtnA5OU8HadVipZ9AnZS092MIScFEwdM0zA26CZAoTtDzpgS15ZGjeA4ymTRgm29ioyLRitoN7bmkGgqK1E6MhUwpz4wp3ti_teILyJe16sQzsJROg3S_d6nLEHSY_HJOfOd85O9mZcqM11lZVGAVwbB5zNTUN2rvoOJ9xuj_BzgrZ0j3LxZxsqNZlmcFA6IqM_7IWOu935czBDKMUNYFb9hIM0J_SnnFipJ1czBMG6WaIVWj3EG7QqHt4sVqe5gA_h4BEr39xqr6l2CMI8MKChjLwDXDubBF1Iul5Xyw%3D%3D&amp;sjdu=0RpCfEEmb2F5NYgrrbnRTT4S4BfHFDzJatYTfcYa75vJ_fkb9eGDEqhrxRPyU4bx_Mt5x94mpb5t49TIvmrztRoGbQWKSmpe6SplVjwnWCbONElH9FCvWZ0FuPudb9gzKfuw2UeSp_WojJR7GllO1w&amp;acatk=1jci0pq8dj0js802&amp;pub=4a1b367933fd867b19b072952f68dceb&amp;camk=nUmJqO2E8rj0H4rnoP7ALQ%3D%3D&amp;xkcb=SoDN6_M3pSJpimwktZ0IbzkdCdPP&amp;xpse=SoDF6_I3pSJokzxUhJ0PbzkdCdPP&amp;xfps=6973f27f-4998-49aa-838c-0159b6977449&amp;vjs=3" TargetMode="External"/><Relationship Id="rId4" Type="http://schemas.openxmlformats.org/officeDocument/2006/relationships/hyperlink" Target="https://www.hellowork.com/fr-fr/emplois/73440229.html" TargetMode="External"/><Relationship Id="rId9" Type="http://schemas.openxmlformats.org/officeDocument/2006/relationships/hyperlink" Target="https://www.hellowork.com/fr-fr/entreprises/dassault-systemes-164454.html" TargetMode="External"/><Relationship Id="rId14" Type="http://schemas.openxmlformats.org/officeDocument/2006/relationships/hyperlink" Target="https://www.hellowork.com/fr-fr/emplois/72814482.html" TargetMode="External"/><Relationship Id="rId22" Type="http://schemas.openxmlformats.org/officeDocument/2006/relationships/hyperlink" Target="https://www.canam.com/emploi/stage-en-soutien-informatique/?source=linkedin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rouverunlogement.lescrous.fr/tools/42/accommodations/1039" TargetMode="External"/><Relationship Id="rId13" Type="http://schemas.openxmlformats.org/officeDocument/2006/relationships/hyperlink" Target="https://maps.app.goo.gl/ySgcKmadKba2P84n8" TargetMode="External"/><Relationship Id="rId18" Type="http://schemas.openxmlformats.org/officeDocument/2006/relationships/hyperlink" Target="https://www.lokaviz.fr/rechercher-un-logement-etudiant/fiche-logement/t4-74-m2-meuble-en-colocation-lhay-les-roses-94240/logement_id:205578?amp=&amp;loyer=600&amp;NE=48.882553823314474%2C2.3658370971679688&amp;SW=48.70161107544582%2C2.0626831054687504&amp;ZOOM=12" TargetMode="External"/><Relationship Id="rId3" Type="http://schemas.openxmlformats.org/officeDocument/2006/relationships/hyperlink" Target="https://trouverunlogement.lescrous.fr/tools/42/accommodations/993" TargetMode="External"/><Relationship Id="rId21" Type="http://schemas.openxmlformats.org/officeDocument/2006/relationships/hyperlink" Target="https://www.lokaviz.fr/rechercher-un-logement-etudiant/fiche-logement/studio-ou-t1-11-m2-meuble-independant-paris-18eme-arrondissement-75018/logement_id:208442?amp=&amp;loyer=600&amp;NE=48.882553823314474%2C2.3658370971679688&amp;SW=48.70161107544582%2C2.0626831054687504&amp;ZOOM=12" TargetMode="External"/><Relationship Id="rId7" Type="http://schemas.openxmlformats.org/officeDocument/2006/relationships/hyperlink" Target="https://maps.app.goo.gl/aRmEBqupe3qPcFrm8" TargetMode="External"/><Relationship Id="rId12" Type="http://schemas.openxmlformats.org/officeDocument/2006/relationships/hyperlink" Target="https://trouverunlogement.lescrous.fr/tools/42/accommodations/2042" TargetMode="External"/><Relationship Id="rId17" Type="http://schemas.openxmlformats.org/officeDocument/2006/relationships/hyperlink" Target="https://maps.app.goo.gl/Sp5t9MvxA5RkERT87" TargetMode="External"/><Relationship Id="rId2" Type="http://schemas.openxmlformats.org/officeDocument/2006/relationships/hyperlink" Target="https://maps.app.goo.gl/KiE5FfG83K4SCmwX8" TargetMode="External"/><Relationship Id="rId16" Type="http://schemas.openxmlformats.org/officeDocument/2006/relationships/hyperlink" Target="https://www.lokaviz.fr/rechercher-un-logement-etudiant/fiche-logement/chambre-14-m2-meuble-chez-un-proprietaire-meudon-92190/logement_id:207535?amp=&amp;loyer=600&amp;NE=48.88797202530557%2C2.4760437011718754&amp;SW=48.70704885377981%2C2.1728897094726567&amp;ZOOM=12&amp;contreservice=1" TargetMode="External"/><Relationship Id="rId20" Type="http://schemas.openxmlformats.org/officeDocument/2006/relationships/hyperlink" Target="https://www.lokaviz.fr/rechercher-un-logement-etudiant/fiche-logement/chambre-11-m2-meuble-chez-un-proprietaire-villejuif-94800/logement_id:196504?amp=&amp;loyer=600&amp;NE=48.882553823314474%2C2.3658370971679688&amp;SW=48.70161107544582%2C2.0626831054687504&amp;ZOOM=12" TargetMode="External"/><Relationship Id="rId1" Type="http://schemas.openxmlformats.org/officeDocument/2006/relationships/hyperlink" Target="https://trouverunlogement.lescrous.fr/tools/42/accommodations/604" TargetMode="External"/><Relationship Id="rId6" Type="http://schemas.openxmlformats.org/officeDocument/2006/relationships/hyperlink" Target="https://maps.app.goo.gl/uabJkg1Vcs5oqQFe8" TargetMode="External"/><Relationship Id="rId11" Type="http://schemas.openxmlformats.org/officeDocument/2006/relationships/hyperlink" Target="15,%20rue%20le%20Bosquet%2091940%20les%20ULIS" TargetMode="External"/><Relationship Id="rId24" Type="http://schemas.openxmlformats.org/officeDocument/2006/relationships/table" Target="../tables/table4.xml"/><Relationship Id="rId5" Type="http://schemas.openxmlformats.org/officeDocument/2006/relationships/hyperlink" Target="https://trouverunlogement.lescrous.fr/tools/42/accommodations/2999" TargetMode="External"/><Relationship Id="rId15" Type="http://schemas.openxmlformats.org/officeDocument/2006/relationships/hyperlink" Target="https://maps.app.goo.gl/5Dn2wQ5uCXKu38g89" TargetMode="External"/><Relationship Id="rId23" Type="http://schemas.openxmlformats.org/officeDocument/2006/relationships/table" Target="../tables/table3.xml"/><Relationship Id="rId10" Type="http://schemas.openxmlformats.org/officeDocument/2006/relationships/hyperlink" Target="840" TargetMode="External"/><Relationship Id="rId19" Type="http://schemas.openxmlformats.org/officeDocument/2006/relationships/hyperlink" Target="https://maps.app.goo.gl/EhABtKkqqpCqo9e3A" TargetMode="External"/><Relationship Id="rId4" Type="http://schemas.openxmlformats.org/officeDocument/2006/relationships/hyperlink" Target="https://maps.app.goo.gl/3McrkQpzhRZHEsXaA" TargetMode="External"/><Relationship Id="rId9" Type="http://schemas.openxmlformats.org/officeDocument/2006/relationships/hyperlink" Target="https://maps.app.goo.gl/KhxNdS6LRNhJeD527" TargetMode="External"/><Relationship Id="rId14" Type="http://schemas.openxmlformats.org/officeDocument/2006/relationships/hyperlink" Target="https://www.jobaviz.fr/rechercher-un-job-etudiant/bureau-administration/accueil/paris-eme-arrondissement-75014/1459992?sort=&amp;limit=20&amp;page=1&amp;position=6&amp;matching=1" TargetMode="External"/><Relationship Id="rId22" Type="http://schemas.openxmlformats.org/officeDocument/2006/relationships/hyperlink" Target="https://maps.app.goo.gl/Nw5kbo23L7KJzcaq6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hr.fr@tp-link.com" TargetMode="External"/><Relationship Id="rId3" Type="http://schemas.openxmlformats.org/officeDocument/2006/relationships/hyperlink" Target="mailto:contact@shape-it.io" TargetMode="External"/><Relationship Id="rId7" Type="http://schemas.openxmlformats.org/officeDocument/2006/relationships/hyperlink" Target="mailto:infos@telecoms-entreprises.com" TargetMode="External"/><Relationship Id="rId12" Type="http://schemas.openxmlformats.org/officeDocument/2006/relationships/table" Target="../tables/table5.xml"/><Relationship Id="rId2" Type="http://schemas.openxmlformats.org/officeDocument/2006/relationships/hyperlink" Target="mailto:rh@opteamis.com" TargetMode="External"/><Relationship Id="rId1" Type="http://schemas.openxmlformats.org/officeDocument/2006/relationships/hyperlink" Target="mailto:alexandre.regis@vditelecom.fr" TargetMode="External"/><Relationship Id="rId6" Type="http://schemas.openxmlformats.org/officeDocument/2006/relationships/hyperlink" Target="mailto:Contact@agexis.com" TargetMode="External"/><Relationship Id="rId11" Type="http://schemas.openxmlformats.org/officeDocument/2006/relationships/hyperlink" Target="01%2040%2060%2080%2080" TargetMode="External"/><Relationship Id="rId5" Type="http://schemas.openxmlformats.org/officeDocument/2006/relationships/hyperlink" Target="mailto:contact@groupe-gth.com" TargetMode="External"/><Relationship Id="rId10" Type="http://schemas.openxmlformats.org/officeDocument/2006/relationships/hyperlink" Target="mailto:recrutements@vist-and.com" TargetMode="External"/><Relationship Id="rId4" Type="http://schemas.openxmlformats.org/officeDocument/2006/relationships/hyperlink" Target="mailto:vincent.totey@anaya-france.eu%20/" TargetMode="External"/><Relationship Id="rId9" Type="http://schemas.openxmlformats.org/officeDocument/2006/relationships/hyperlink" Target="mailto:contact@auranex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DCD9-54AF-4026-9B8B-7757583454D5}">
  <sheetPr codeName="Feuil1"/>
  <dimension ref="A1:Y235"/>
  <sheetViews>
    <sheetView tabSelected="1" topLeftCell="A10" zoomScale="130" zoomScaleNormal="130" workbookViewId="0">
      <selection activeCell="D30" sqref="D30"/>
    </sheetView>
  </sheetViews>
  <sheetFormatPr baseColWidth="10" defaultRowHeight="15" x14ac:dyDescent="0.25"/>
  <cols>
    <col min="1" max="1" width="10.5703125" style="2" customWidth="1"/>
    <col min="2" max="2" width="10.7109375" style="1" customWidth="1"/>
    <col min="3" max="3" width="18.5703125" style="2" bestFit="1" customWidth="1"/>
    <col min="4" max="4" width="41.5703125" style="1" customWidth="1"/>
    <col min="5" max="5" width="19.140625" customWidth="1"/>
    <col min="6" max="6" width="38" style="8" customWidth="1"/>
    <col min="7" max="15" width="11.42578125" style="8"/>
    <col min="16" max="16" width="11.85546875" style="8" customWidth="1"/>
    <col min="17" max="17" width="32.140625" style="8" customWidth="1"/>
    <col min="18" max="18" width="19.5703125" style="8" bestFit="1" customWidth="1"/>
    <col min="19" max="19" width="10.7109375" style="8" customWidth="1"/>
    <col min="20" max="20" width="7.85546875" style="8" bestFit="1" customWidth="1"/>
    <col min="21" max="21" width="11.42578125" style="8"/>
    <col min="22" max="22" width="18.140625" style="8" customWidth="1"/>
    <col min="23" max="25" width="11.42578125" style="8"/>
  </cols>
  <sheetData>
    <row r="1" spans="1:18" x14ac:dyDescent="0.25">
      <c r="A1" s="9" t="s">
        <v>0</v>
      </c>
      <c r="B1" s="9" t="s">
        <v>34</v>
      </c>
      <c r="C1" s="10" t="s">
        <v>1</v>
      </c>
      <c r="D1" s="10" t="s">
        <v>2</v>
      </c>
      <c r="E1" s="10" t="s">
        <v>5</v>
      </c>
      <c r="F1" s="10" t="s">
        <v>27</v>
      </c>
      <c r="P1" s="15"/>
    </row>
    <row r="2" spans="1:18" x14ac:dyDescent="0.25">
      <c r="A2" s="11">
        <v>46003</v>
      </c>
      <c r="B2" s="11" t="s">
        <v>62</v>
      </c>
      <c r="C2" s="12" t="s">
        <v>59</v>
      </c>
      <c r="D2" s="18" t="s">
        <v>60</v>
      </c>
      <c r="E2" s="10" t="s">
        <v>8</v>
      </c>
      <c r="F2" s="12"/>
      <c r="P2" s="15"/>
      <c r="Q2" s="16"/>
    </row>
    <row r="3" spans="1:18" x14ac:dyDescent="0.25">
      <c r="A3" s="11">
        <v>46003</v>
      </c>
      <c r="B3" s="11" t="s">
        <v>62</v>
      </c>
      <c r="C3" s="12" t="s">
        <v>59</v>
      </c>
      <c r="D3" s="18" t="s">
        <v>61</v>
      </c>
      <c r="E3" s="10" t="s">
        <v>8</v>
      </c>
      <c r="F3"/>
      <c r="P3" s="15"/>
      <c r="Q3" s="16"/>
      <c r="R3" s="16"/>
    </row>
    <row r="4" spans="1:18" x14ac:dyDescent="0.25">
      <c r="A4" s="11">
        <v>46003</v>
      </c>
      <c r="B4" s="11" t="s">
        <v>62</v>
      </c>
      <c r="C4" s="12" t="s">
        <v>59</v>
      </c>
      <c r="D4" s="18" t="s">
        <v>63</v>
      </c>
      <c r="E4" s="10" t="s">
        <v>13</v>
      </c>
      <c r="F4" t="s">
        <v>110</v>
      </c>
      <c r="P4" s="15"/>
      <c r="Q4" s="16"/>
      <c r="R4" s="16"/>
    </row>
    <row r="5" spans="1:18" x14ac:dyDescent="0.25">
      <c r="A5" s="11">
        <v>46003</v>
      </c>
      <c r="B5" s="11"/>
      <c r="C5" s="12" t="s">
        <v>59</v>
      </c>
      <c r="D5" s="13"/>
      <c r="E5" s="10"/>
      <c r="F5" s="12"/>
      <c r="P5" s="15"/>
      <c r="Q5" s="16"/>
      <c r="R5" s="16"/>
    </row>
    <row r="6" spans="1:18" x14ac:dyDescent="0.25">
      <c r="A6" s="11">
        <v>46003</v>
      </c>
      <c r="B6" s="11"/>
      <c r="C6" s="12" t="s">
        <v>65</v>
      </c>
      <c r="D6" s="18" t="s">
        <v>64</v>
      </c>
      <c r="E6" s="10" t="s">
        <v>8</v>
      </c>
      <c r="F6" s="12"/>
      <c r="P6" s="15"/>
      <c r="Q6" s="16"/>
      <c r="R6" s="16"/>
    </row>
    <row r="7" spans="1:18" x14ac:dyDescent="0.25">
      <c r="A7" s="11">
        <v>46003</v>
      </c>
      <c r="B7" s="11"/>
      <c r="C7" s="12" t="s">
        <v>67</v>
      </c>
      <c r="D7" s="18" t="s">
        <v>66</v>
      </c>
      <c r="E7" s="10" t="s">
        <v>8</v>
      </c>
      <c r="F7"/>
      <c r="P7" s="15"/>
      <c r="Q7" s="16"/>
      <c r="R7" s="16"/>
    </row>
    <row r="8" spans="1:18" x14ac:dyDescent="0.25">
      <c r="A8" s="11">
        <v>46003</v>
      </c>
      <c r="B8" s="11"/>
      <c r="C8" t="s">
        <v>69</v>
      </c>
      <c r="D8" s="18" t="s">
        <v>68</v>
      </c>
      <c r="E8" s="10" t="s">
        <v>8</v>
      </c>
      <c r="F8"/>
      <c r="P8" s="15"/>
      <c r="Q8" s="16"/>
      <c r="R8" s="16"/>
    </row>
    <row r="9" spans="1:18" x14ac:dyDescent="0.25">
      <c r="A9" s="11">
        <v>46003</v>
      </c>
      <c r="B9" s="11"/>
      <c r="C9" t="s">
        <v>67</v>
      </c>
      <c r="D9" s="18" t="s">
        <v>70</v>
      </c>
      <c r="E9" s="10" t="s">
        <v>8</v>
      </c>
      <c r="F9"/>
      <c r="P9" s="15"/>
    </row>
    <row r="10" spans="1:18" x14ac:dyDescent="0.25">
      <c r="A10" s="11">
        <v>46003</v>
      </c>
      <c r="B10" s="11"/>
      <c r="C10" t="s">
        <v>94</v>
      </c>
      <c r="D10" s="18" t="s">
        <v>71</v>
      </c>
      <c r="E10" s="10" t="s">
        <v>8</v>
      </c>
      <c r="F10"/>
      <c r="P10" s="15"/>
    </row>
    <row r="11" spans="1:18" x14ac:dyDescent="0.25">
      <c r="A11" s="11">
        <v>46003</v>
      </c>
      <c r="B11" s="11"/>
      <c r="C11" s="18" t="s">
        <v>73</v>
      </c>
      <c r="D11" s="18" t="s">
        <v>72</v>
      </c>
      <c r="E11" s="10" t="s">
        <v>8</v>
      </c>
      <c r="F11"/>
      <c r="P11" s="15"/>
    </row>
    <row r="12" spans="1:18" x14ac:dyDescent="0.25">
      <c r="A12" s="11">
        <v>46003</v>
      </c>
      <c r="B12" s="11"/>
      <c r="C12" s="12" t="s">
        <v>74</v>
      </c>
      <c r="D12" s="18" t="s">
        <v>75</v>
      </c>
      <c r="E12" s="10" t="s">
        <v>8</v>
      </c>
      <c r="F12"/>
      <c r="P12" s="15"/>
    </row>
    <row r="13" spans="1:18" x14ac:dyDescent="0.25">
      <c r="A13" s="11">
        <v>46003</v>
      </c>
      <c r="B13" s="11"/>
      <c r="C13" t="s">
        <v>76</v>
      </c>
      <c r="D13" s="18" t="s">
        <v>77</v>
      </c>
      <c r="E13" s="10" t="s">
        <v>8</v>
      </c>
      <c r="F13"/>
    </row>
    <row r="14" spans="1:18" x14ac:dyDescent="0.25">
      <c r="A14" s="11">
        <v>46003</v>
      </c>
      <c r="B14" s="11"/>
      <c r="C14" s="12" t="s">
        <v>78</v>
      </c>
      <c r="D14" s="18" t="s">
        <v>79</v>
      </c>
      <c r="E14" s="10" t="s">
        <v>13</v>
      </c>
      <c r="F14" t="s">
        <v>109</v>
      </c>
    </row>
    <row r="15" spans="1:18" x14ac:dyDescent="0.25">
      <c r="A15" s="11">
        <v>46003</v>
      </c>
      <c r="B15" s="11"/>
      <c r="C15" s="12" t="s">
        <v>81</v>
      </c>
      <c r="D15" s="18" t="s">
        <v>80</v>
      </c>
      <c r="E15" s="10" t="s">
        <v>8</v>
      </c>
      <c r="F15"/>
    </row>
    <row r="16" spans="1:18" x14ac:dyDescent="0.25">
      <c r="A16" s="11">
        <v>46003</v>
      </c>
      <c r="B16" s="11"/>
      <c r="C16" s="12" t="s">
        <v>83</v>
      </c>
      <c r="D16" s="18" t="s">
        <v>82</v>
      </c>
      <c r="E16" s="10" t="s">
        <v>8</v>
      </c>
      <c r="F16"/>
    </row>
    <row r="17" spans="1:17" x14ac:dyDescent="0.25">
      <c r="A17" s="11">
        <v>46003</v>
      </c>
      <c r="B17" s="11"/>
      <c r="C17" s="18" t="s">
        <v>85</v>
      </c>
      <c r="D17" s="18" t="s">
        <v>84</v>
      </c>
      <c r="E17" s="10" t="s">
        <v>8</v>
      </c>
      <c r="F17"/>
    </row>
    <row r="18" spans="1:17" x14ac:dyDescent="0.25">
      <c r="A18" s="11">
        <v>46003</v>
      </c>
      <c r="B18" s="11"/>
      <c r="C18" t="s">
        <v>87</v>
      </c>
      <c r="D18" s="18" t="s">
        <v>86</v>
      </c>
      <c r="E18" s="10" t="s">
        <v>8</v>
      </c>
      <c r="F18"/>
    </row>
    <row r="19" spans="1:17" x14ac:dyDescent="0.25">
      <c r="A19" s="11">
        <v>46003</v>
      </c>
      <c r="B19" s="11"/>
      <c r="C19" s="18" t="s">
        <v>89</v>
      </c>
      <c r="D19" s="18" t="s">
        <v>88</v>
      </c>
      <c r="E19" s="10" t="s">
        <v>8</v>
      </c>
      <c r="F19"/>
    </row>
    <row r="20" spans="1:17" x14ac:dyDescent="0.25">
      <c r="A20" s="11">
        <v>46003</v>
      </c>
      <c r="B20" s="11"/>
      <c r="C20" s="12" t="s">
        <v>91</v>
      </c>
      <c r="D20" s="12" t="s">
        <v>90</v>
      </c>
      <c r="E20" s="10" t="s">
        <v>8</v>
      </c>
      <c r="F20"/>
    </row>
    <row r="21" spans="1:17" x14ac:dyDescent="0.25">
      <c r="A21" s="11">
        <v>46003</v>
      </c>
      <c r="B21" s="11"/>
      <c r="C21" s="12" t="s">
        <v>93</v>
      </c>
      <c r="D21" s="12" t="s">
        <v>92</v>
      </c>
      <c r="E21" s="10" t="s">
        <v>8</v>
      </c>
      <c r="F21"/>
    </row>
    <row r="22" spans="1:17" x14ac:dyDescent="0.25">
      <c r="A22" s="11"/>
      <c r="B22" s="11"/>
      <c r="C22" s="12"/>
      <c r="D22" s="12" t="s">
        <v>169</v>
      </c>
      <c r="E22" s="10"/>
      <c r="F22"/>
    </row>
    <row r="23" spans="1:17" x14ac:dyDescent="0.25">
      <c r="A23" s="11"/>
      <c r="B23" s="11"/>
      <c r="C23" s="12"/>
      <c r="D23" s="12"/>
      <c r="E23" s="10"/>
      <c r="F23"/>
      <c r="P23" s="15"/>
    </row>
    <row r="24" spans="1:17" x14ac:dyDescent="0.25">
      <c r="A24" s="11"/>
      <c r="B24" s="11"/>
      <c r="C24" s="12"/>
      <c r="D24" s="12"/>
      <c r="E24" s="10"/>
      <c r="F24"/>
      <c r="P24" s="15"/>
      <c r="Q24" s="16"/>
    </row>
    <row r="25" spans="1:17" x14ac:dyDescent="0.25">
      <c r="A25" s="11"/>
      <c r="B25" s="11"/>
      <c r="C25" s="12"/>
      <c r="D25" s="12"/>
      <c r="E25" s="10"/>
      <c r="F25"/>
      <c r="P25" s="15"/>
    </row>
    <row r="26" spans="1:17" x14ac:dyDescent="0.25">
      <c r="A26" s="11"/>
      <c r="B26" s="11"/>
      <c r="C26"/>
      <c r="D26" s="12"/>
      <c r="F26"/>
      <c r="P26" s="15"/>
    </row>
    <row r="27" spans="1:17" x14ac:dyDescent="0.25">
      <c r="A27" s="11"/>
      <c r="B27" s="11"/>
      <c r="C27" s="12"/>
      <c r="D27" s="12"/>
      <c r="F27"/>
      <c r="P27" s="15"/>
      <c r="Q27" s="16"/>
    </row>
    <row r="28" spans="1:17" x14ac:dyDescent="0.25">
      <c r="A28" s="11"/>
      <c r="B28" s="11"/>
      <c r="C28" s="14"/>
      <c r="D28" s="12"/>
      <c r="F28"/>
      <c r="P28" s="15"/>
      <c r="Q28" s="16"/>
    </row>
    <row r="29" spans="1:17" x14ac:dyDescent="0.25">
      <c r="A29" s="11"/>
      <c r="B29" s="11"/>
      <c r="C29" s="12"/>
      <c r="D29" s="12"/>
      <c r="F29"/>
      <c r="P29" s="15"/>
    </row>
    <row r="30" spans="1:17" x14ac:dyDescent="0.25">
      <c r="A30" s="11"/>
      <c r="B30" s="11"/>
      <c r="C30" s="18"/>
      <c r="D30"/>
      <c r="F30"/>
      <c r="P30" s="15"/>
    </row>
    <row r="31" spans="1:17" x14ac:dyDescent="0.25">
      <c r="A31" s="11"/>
      <c r="B31" s="11"/>
      <c r="C31"/>
      <c r="D31" s="12"/>
      <c r="F31"/>
      <c r="P31" s="15"/>
    </row>
    <row r="32" spans="1:17" x14ac:dyDescent="0.25">
      <c r="A32" s="11"/>
      <c r="B32" s="11"/>
      <c r="C32"/>
      <c r="D32" s="12"/>
      <c r="F32"/>
      <c r="P32" s="15"/>
    </row>
    <row r="33" spans="1:16" x14ac:dyDescent="0.25">
      <c r="A33" s="11"/>
      <c r="B33" s="11"/>
      <c r="C33" s="12"/>
      <c r="D33"/>
      <c r="F33"/>
      <c r="J33" s="22"/>
      <c r="P33" s="15"/>
    </row>
    <row r="34" spans="1:16" x14ac:dyDescent="0.25">
      <c r="A34" s="11"/>
      <c r="B34" s="11"/>
      <c r="C34"/>
      <c r="D34" s="12"/>
      <c r="F34"/>
      <c r="P34" s="15"/>
    </row>
    <row r="35" spans="1:16" x14ac:dyDescent="0.25">
      <c r="A35" s="11"/>
      <c r="B35" s="11"/>
      <c r="C35"/>
      <c r="D35"/>
      <c r="F35"/>
    </row>
    <row r="36" spans="1:16" x14ac:dyDescent="0.25">
      <c r="A36" s="11"/>
      <c r="B36" s="11"/>
      <c r="C36"/>
      <c r="D36" s="13"/>
      <c r="F36" s="12"/>
      <c r="I36" t="s">
        <v>25</v>
      </c>
      <c r="J36" t="s">
        <v>53</v>
      </c>
      <c r="K36" s="8" t="s">
        <v>54</v>
      </c>
      <c r="L36" s="8" t="s">
        <v>55</v>
      </c>
    </row>
    <row r="37" spans="1:16" x14ac:dyDescent="0.25">
      <c r="A37" s="11"/>
      <c r="B37" s="11"/>
      <c r="C37"/>
      <c r="D37"/>
      <c r="F37"/>
      <c r="I37" s="6" t="s">
        <v>56</v>
      </c>
      <c r="J37">
        <f>COUNTIF(E1:E410, "*Appel reçu*")</f>
        <v>0</v>
      </c>
      <c r="K37" t="s">
        <v>36</v>
      </c>
      <c r="L37">
        <f>COUNTIF(B1:B410, "*ESN*")</f>
        <v>0</v>
      </c>
    </row>
    <row r="38" spans="1:16" x14ac:dyDescent="0.25">
      <c r="A38" s="11"/>
      <c r="B38" s="11"/>
      <c r="C38"/>
      <c r="D38"/>
      <c r="F38"/>
      <c r="I38" s="23" t="s">
        <v>8</v>
      </c>
      <c r="J38">
        <f>COUNTIF(E1:E410, "*En attente*")</f>
        <v>17</v>
      </c>
      <c r="K38" t="s">
        <v>35</v>
      </c>
      <c r="L38">
        <f>COUNTIF(B1:B410, "*Télécom*")</f>
        <v>3</v>
      </c>
    </row>
    <row r="39" spans="1:16" x14ac:dyDescent="0.25">
      <c r="A39" s="11"/>
      <c r="B39" s="11"/>
      <c r="C39"/>
      <c r="D39"/>
      <c r="F39"/>
      <c r="I39" s="5" t="s">
        <v>13</v>
      </c>
      <c r="J39">
        <f>COUNTIF(E1:E410, "*Refus*")</f>
        <v>2</v>
      </c>
      <c r="K39" t="s">
        <v>49</v>
      </c>
      <c r="L39">
        <f>COUNTIF(B1:B410, "*FAI*")</f>
        <v>0</v>
      </c>
    </row>
    <row r="40" spans="1:16" x14ac:dyDescent="0.25">
      <c r="A40" s="11"/>
      <c r="B40" s="11"/>
      <c r="C40"/>
      <c r="D40"/>
      <c r="F40"/>
      <c r="I40" t="s">
        <v>57</v>
      </c>
      <c r="J40">
        <f>J39+J38+J37</f>
        <v>19</v>
      </c>
      <c r="K40" t="s">
        <v>44</v>
      </c>
      <c r="L40">
        <f>COUNTIF(B1:B410, "*Mairie*")</f>
        <v>0</v>
      </c>
    </row>
    <row r="41" spans="1:16" x14ac:dyDescent="0.25">
      <c r="A41" s="11"/>
      <c r="B41" s="11"/>
      <c r="C41" s="12"/>
      <c r="D41"/>
      <c r="F41"/>
    </row>
    <row r="42" spans="1:16" x14ac:dyDescent="0.25">
      <c r="A42" s="11"/>
      <c r="B42" s="11"/>
      <c r="C42" s="17"/>
      <c r="D42" s="11"/>
      <c r="F42"/>
    </row>
    <row r="43" spans="1:16" x14ac:dyDescent="0.25">
      <c r="A43" s="11"/>
      <c r="B43" s="11"/>
      <c r="C43" s="17"/>
      <c r="D43" s="11"/>
      <c r="F43"/>
    </row>
    <row r="44" spans="1:16" x14ac:dyDescent="0.25">
      <c r="A44" s="11"/>
      <c r="B44" s="11"/>
      <c r="C44" s="11"/>
      <c r="D44" s="11"/>
      <c r="F44"/>
    </row>
    <row r="45" spans="1:16" x14ac:dyDescent="0.25">
      <c r="A45" s="11"/>
      <c r="B45" s="11"/>
      <c r="C45" s="19"/>
      <c r="D45" s="11"/>
      <c r="F45"/>
    </row>
    <row r="46" spans="1:16" x14ac:dyDescent="0.25">
      <c r="A46" s="11"/>
      <c r="B46" s="11"/>
      <c r="C46" s="19"/>
      <c r="D46" s="11"/>
      <c r="F46"/>
    </row>
    <row r="47" spans="1:16" x14ac:dyDescent="0.25">
      <c r="A47" s="11"/>
      <c r="B47" s="11"/>
      <c r="C47" s="19"/>
      <c r="D47" s="11"/>
      <c r="F47"/>
    </row>
    <row r="48" spans="1:16" x14ac:dyDescent="0.25">
      <c r="A48" s="11"/>
      <c r="B48" s="11"/>
      <c r="C48" s="11"/>
      <c r="D48" s="11"/>
      <c r="F48"/>
    </row>
    <row r="49" spans="1:6" x14ac:dyDescent="0.25">
      <c r="A49" s="11"/>
      <c r="B49" s="11"/>
      <c r="C49" s="19"/>
      <c r="D49" s="11"/>
      <c r="F49"/>
    </row>
    <row r="50" spans="1:6" x14ac:dyDescent="0.25">
      <c r="A50" s="11"/>
      <c r="B50" s="11"/>
      <c r="C50" s="20"/>
      <c r="D50" s="2"/>
      <c r="E50" s="1"/>
      <c r="F50"/>
    </row>
    <row r="51" spans="1:6" x14ac:dyDescent="0.25">
      <c r="A51" s="11"/>
      <c r="B51" s="11"/>
      <c r="C51"/>
      <c r="F51"/>
    </row>
    <row r="52" spans="1:6" x14ac:dyDescent="0.25">
      <c r="A52" s="11"/>
      <c r="B52" s="11"/>
      <c r="C52"/>
      <c r="F52"/>
    </row>
    <row r="53" spans="1:6" x14ac:dyDescent="0.25">
      <c r="A53" s="11"/>
      <c r="B53" s="11"/>
      <c r="C53"/>
      <c r="F53"/>
    </row>
    <row r="54" spans="1:6" x14ac:dyDescent="0.25">
      <c r="A54" s="11"/>
      <c r="B54" s="11"/>
      <c r="C54"/>
      <c r="F54"/>
    </row>
    <row r="55" spans="1:6" x14ac:dyDescent="0.25">
      <c r="A55" s="11"/>
      <c r="B55" s="11"/>
      <c r="C55"/>
      <c r="D55"/>
      <c r="F55"/>
    </row>
    <row r="56" spans="1:6" x14ac:dyDescent="0.25">
      <c r="A56" s="11"/>
      <c r="B56" s="11"/>
      <c r="C56" s="12"/>
      <c r="E56" s="2"/>
      <c r="F56"/>
    </row>
    <row r="57" spans="1:6" x14ac:dyDescent="0.25">
      <c r="A57" s="11"/>
      <c r="B57" s="11"/>
      <c r="C57"/>
      <c r="E57" s="2"/>
      <c r="F57"/>
    </row>
    <row r="58" spans="1:6" x14ac:dyDescent="0.25">
      <c r="A58" s="11"/>
      <c r="B58" s="11"/>
      <c r="C58" s="12"/>
      <c r="F58"/>
    </row>
    <row r="59" spans="1:6" x14ac:dyDescent="0.25">
      <c r="A59" s="11"/>
      <c r="B59" s="11"/>
      <c r="C59" s="12"/>
      <c r="D59"/>
      <c r="F59"/>
    </row>
    <row r="60" spans="1:6" x14ac:dyDescent="0.25">
      <c r="A60" s="11"/>
      <c r="B60" s="11"/>
      <c r="C60" s="12"/>
      <c r="D60"/>
      <c r="F60"/>
    </row>
    <row r="61" spans="1:6" x14ac:dyDescent="0.25">
      <c r="A61" s="11"/>
      <c r="B61" s="11"/>
      <c r="C61" s="12"/>
      <c r="D61"/>
      <c r="F61"/>
    </row>
    <row r="62" spans="1:6" x14ac:dyDescent="0.25">
      <c r="A62" s="11"/>
      <c r="B62" s="11"/>
      <c r="C62" s="12"/>
      <c r="D62"/>
      <c r="F62"/>
    </row>
    <row r="63" spans="1:6" x14ac:dyDescent="0.25">
      <c r="A63" s="11"/>
      <c r="B63" s="11"/>
      <c r="C63" s="12"/>
      <c r="D63"/>
      <c r="F63"/>
    </row>
    <row r="64" spans="1:6" x14ac:dyDescent="0.25">
      <c r="A64" s="11"/>
      <c r="B64" s="11"/>
      <c r="C64" s="12"/>
      <c r="D64"/>
      <c r="F64"/>
    </row>
    <row r="65" spans="1:6" x14ac:dyDescent="0.25">
      <c r="A65" s="11"/>
      <c r="B65" s="11"/>
      <c r="C65" s="12"/>
      <c r="D65"/>
      <c r="F65"/>
    </row>
    <row r="66" spans="1:6" x14ac:dyDescent="0.25">
      <c r="A66" s="11"/>
      <c r="B66" s="11"/>
      <c r="C66"/>
      <c r="D66" s="12"/>
      <c r="E66" s="2"/>
      <c r="F66"/>
    </row>
    <row r="67" spans="1:6" x14ac:dyDescent="0.25">
      <c r="A67" s="11"/>
      <c r="B67" s="11"/>
      <c r="C67"/>
      <c r="D67" s="12"/>
      <c r="E67" s="2"/>
      <c r="F67"/>
    </row>
    <row r="68" spans="1:6" x14ac:dyDescent="0.25">
      <c r="A68" s="11"/>
      <c r="B68" s="11"/>
      <c r="C68"/>
      <c r="D68" s="12"/>
      <c r="E68" s="2"/>
      <c r="F68"/>
    </row>
    <row r="69" spans="1:6" x14ac:dyDescent="0.25">
      <c r="A69" s="11"/>
      <c r="B69" s="11"/>
      <c r="C69" s="12"/>
      <c r="D69"/>
      <c r="E69" s="2"/>
      <c r="F69"/>
    </row>
    <row r="70" spans="1:6" x14ac:dyDescent="0.25">
      <c r="A70" s="11"/>
      <c r="B70" s="11"/>
      <c r="C70" s="12"/>
      <c r="D70"/>
      <c r="E70" s="2"/>
      <c r="F70"/>
    </row>
    <row r="71" spans="1:6" x14ac:dyDescent="0.25">
      <c r="A71" s="11"/>
      <c r="B71" s="11"/>
      <c r="C71"/>
      <c r="D71" s="12"/>
      <c r="E71" s="2"/>
      <c r="F71"/>
    </row>
    <row r="72" spans="1:6" x14ac:dyDescent="0.25">
      <c r="A72" s="11"/>
      <c r="B72" s="11"/>
      <c r="C72"/>
      <c r="D72"/>
      <c r="E72" s="2"/>
      <c r="F72"/>
    </row>
    <row r="73" spans="1:6" x14ac:dyDescent="0.25">
      <c r="A73" s="11"/>
      <c r="B73" s="11"/>
      <c r="C73" s="12"/>
      <c r="D73"/>
      <c r="E73" s="2"/>
      <c r="F73"/>
    </row>
    <row r="74" spans="1:6" x14ac:dyDescent="0.25">
      <c r="A74" s="11"/>
      <c r="B74" s="11"/>
      <c r="C74" s="12"/>
      <c r="D74"/>
      <c r="E74" s="2"/>
      <c r="F74"/>
    </row>
    <row r="75" spans="1:6" x14ac:dyDescent="0.25">
      <c r="A75" s="11"/>
      <c r="B75" s="11"/>
      <c r="C75" s="12"/>
      <c r="D75"/>
      <c r="E75" s="2"/>
      <c r="F75"/>
    </row>
    <row r="76" spans="1:6" x14ac:dyDescent="0.25">
      <c r="A76" s="11"/>
      <c r="B76" s="11"/>
      <c r="C76" s="12"/>
      <c r="D76"/>
      <c r="E76" s="2"/>
      <c r="F76"/>
    </row>
    <row r="77" spans="1:6" x14ac:dyDescent="0.25">
      <c r="A77" s="11"/>
      <c r="B77" s="11"/>
      <c r="C77" s="12"/>
      <c r="D77"/>
      <c r="E77" s="2"/>
      <c r="F77"/>
    </row>
    <row r="78" spans="1:6" x14ac:dyDescent="0.25">
      <c r="A78" s="11"/>
      <c r="B78" s="11"/>
      <c r="C78" s="12"/>
      <c r="D78"/>
      <c r="E78" s="2"/>
      <c r="F78"/>
    </row>
    <row r="79" spans="1:6" x14ac:dyDescent="0.25">
      <c r="A79" s="11"/>
      <c r="B79" s="11"/>
      <c r="C79" s="12"/>
      <c r="D79"/>
      <c r="E79" s="2"/>
      <c r="F79"/>
    </row>
    <row r="80" spans="1:6" x14ac:dyDescent="0.25">
      <c r="A80" s="11"/>
      <c r="B80" s="11"/>
      <c r="C80" s="12"/>
      <c r="D80"/>
      <c r="E80" s="2"/>
      <c r="F80"/>
    </row>
    <row r="81" spans="1:6" x14ac:dyDescent="0.25">
      <c r="A81" s="11"/>
      <c r="B81" s="11"/>
      <c r="C81" s="12"/>
      <c r="D81"/>
      <c r="E81" s="2"/>
      <c r="F81"/>
    </row>
    <row r="82" spans="1:6" x14ac:dyDescent="0.25">
      <c r="A82" s="11"/>
      <c r="B82" s="11"/>
      <c r="C82" s="12"/>
      <c r="D82"/>
      <c r="E82" s="2"/>
      <c r="F82"/>
    </row>
    <row r="83" spans="1:6" x14ac:dyDescent="0.25">
      <c r="A83" s="11"/>
      <c r="B83" s="11"/>
      <c r="C83" s="12"/>
      <c r="D83"/>
      <c r="E83" s="2"/>
      <c r="F83"/>
    </row>
    <row r="84" spans="1:6" x14ac:dyDescent="0.25">
      <c r="A84" s="11"/>
      <c r="B84" s="11"/>
      <c r="C84" s="12"/>
      <c r="D84"/>
      <c r="E84" s="2"/>
      <c r="F84"/>
    </row>
    <row r="85" spans="1:6" x14ac:dyDescent="0.25">
      <c r="A85" s="11"/>
      <c r="B85" s="11"/>
      <c r="C85" s="12"/>
      <c r="D85"/>
      <c r="E85" s="2"/>
      <c r="F85"/>
    </row>
    <row r="86" spans="1:6" x14ac:dyDescent="0.25">
      <c r="A86" s="11"/>
      <c r="B86" s="11"/>
      <c r="C86" s="12"/>
      <c r="D86"/>
      <c r="E86" s="2"/>
      <c r="F86"/>
    </row>
    <row r="87" spans="1:6" x14ac:dyDescent="0.25">
      <c r="A87" s="11"/>
      <c r="B87" s="11"/>
      <c r="C87" s="12"/>
      <c r="D87"/>
      <c r="E87" s="2"/>
      <c r="F87"/>
    </row>
    <row r="88" spans="1:6" x14ac:dyDescent="0.25">
      <c r="A88" s="11"/>
      <c r="B88" s="11"/>
      <c r="C88" s="12"/>
      <c r="D88"/>
      <c r="E88" s="2"/>
      <c r="F88"/>
    </row>
    <row r="89" spans="1:6" x14ac:dyDescent="0.25">
      <c r="A89" s="11"/>
      <c r="B89" s="11"/>
      <c r="C89" s="12"/>
      <c r="D89"/>
      <c r="E89" s="2"/>
      <c r="F89"/>
    </row>
    <row r="90" spans="1:6" x14ac:dyDescent="0.25">
      <c r="A90" s="11"/>
      <c r="B90" s="11"/>
      <c r="C90" s="12"/>
      <c r="D90"/>
      <c r="E90" s="2"/>
      <c r="F90"/>
    </row>
    <row r="91" spans="1:6" x14ac:dyDescent="0.25">
      <c r="A91" s="11"/>
      <c r="B91" s="11"/>
      <c r="C91" s="12"/>
      <c r="D91"/>
      <c r="E91" s="2"/>
      <c r="F91"/>
    </row>
    <row r="92" spans="1:6" x14ac:dyDescent="0.25">
      <c r="A92" s="11"/>
      <c r="B92" s="11"/>
      <c r="C92" s="12"/>
      <c r="D92"/>
      <c r="E92" s="2"/>
      <c r="F92"/>
    </row>
    <row r="93" spans="1:6" x14ac:dyDescent="0.25">
      <c r="A93" s="11"/>
      <c r="B93" s="11"/>
      <c r="C93" s="12"/>
      <c r="D93"/>
      <c r="E93" s="2"/>
      <c r="F93"/>
    </row>
    <row r="94" spans="1:6" x14ac:dyDescent="0.25">
      <c r="A94" s="11"/>
      <c r="B94" s="11"/>
      <c r="C94" s="12"/>
      <c r="D94"/>
      <c r="E94" s="2"/>
      <c r="F94"/>
    </row>
    <row r="95" spans="1:6" x14ac:dyDescent="0.25">
      <c r="A95" s="11"/>
      <c r="B95" s="11"/>
      <c r="C95" s="12"/>
      <c r="D95"/>
      <c r="E95" s="2"/>
      <c r="F95"/>
    </row>
    <row r="96" spans="1:6" x14ac:dyDescent="0.25">
      <c r="A96" s="11"/>
      <c r="B96" s="11"/>
      <c r="C96" s="12"/>
      <c r="D96"/>
      <c r="E96" s="2"/>
      <c r="F96"/>
    </row>
    <row r="97" spans="1:6" x14ac:dyDescent="0.25">
      <c r="A97" s="11"/>
      <c r="B97" s="11"/>
      <c r="C97" s="12"/>
      <c r="D97"/>
      <c r="E97" s="2"/>
      <c r="F97"/>
    </row>
    <row r="98" spans="1:6" x14ac:dyDescent="0.25">
      <c r="A98" s="11"/>
      <c r="B98" s="11"/>
      <c r="C98" s="12"/>
      <c r="D98"/>
      <c r="E98" s="2"/>
      <c r="F98"/>
    </row>
    <row r="99" spans="1:6" x14ac:dyDescent="0.25">
      <c r="A99" s="11"/>
      <c r="B99" s="11"/>
      <c r="C99" s="12"/>
      <c r="D99"/>
      <c r="E99" s="2"/>
      <c r="F99"/>
    </row>
    <row r="100" spans="1:6" x14ac:dyDescent="0.25">
      <c r="A100" s="11"/>
      <c r="B100" s="11"/>
      <c r="C100" s="12"/>
      <c r="D100"/>
      <c r="E100" s="2"/>
      <c r="F100"/>
    </row>
    <row r="101" spans="1:6" x14ac:dyDescent="0.25">
      <c r="A101" s="11"/>
      <c r="B101" s="11"/>
      <c r="C101" s="12"/>
      <c r="D101"/>
      <c r="E101" s="2"/>
      <c r="F101"/>
    </row>
    <row r="102" spans="1:6" x14ac:dyDescent="0.25">
      <c r="A102" s="11"/>
      <c r="B102" s="11"/>
      <c r="C102" s="12"/>
      <c r="D102"/>
      <c r="E102" s="2"/>
      <c r="F102"/>
    </row>
    <row r="103" spans="1:6" x14ac:dyDescent="0.25">
      <c r="A103" s="11"/>
      <c r="B103" s="11"/>
      <c r="C103"/>
      <c r="D103" s="12"/>
      <c r="E103" s="2"/>
      <c r="F103"/>
    </row>
    <row r="104" spans="1:6" x14ac:dyDescent="0.25">
      <c r="A104" s="11"/>
      <c r="B104" s="11"/>
      <c r="C104"/>
      <c r="D104" s="12"/>
      <c r="E104" s="2"/>
      <c r="F104"/>
    </row>
    <row r="105" spans="1:6" x14ac:dyDescent="0.25">
      <c r="A105" s="11"/>
      <c r="B105" s="11"/>
      <c r="C105" s="12"/>
      <c r="D105"/>
      <c r="E105" s="2"/>
      <c r="F105"/>
    </row>
    <row r="106" spans="1:6" x14ac:dyDescent="0.25">
      <c r="A106" s="11"/>
      <c r="B106" s="11"/>
      <c r="C106" s="12"/>
      <c r="D106"/>
      <c r="E106" s="2"/>
      <c r="F106"/>
    </row>
    <row r="107" spans="1:6" x14ac:dyDescent="0.25">
      <c r="A107" s="11"/>
      <c r="B107" s="11"/>
      <c r="C107" s="12"/>
      <c r="D107"/>
      <c r="E107" s="2"/>
      <c r="F107"/>
    </row>
    <row r="108" spans="1:6" x14ac:dyDescent="0.25">
      <c r="A108" s="11"/>
      <c r="B108" s="11"/>
      <c r="C108" s="12"/>
      <c r="D108"/>
      <c r="E108" s="2"/>
      <c r="F108"/>
    </row>
    <row r="109" spans="1:6" x14ac:dyDescent="0.25">
      <c r="A109" s="11"/>
      <c r="B109" s="11"/>
      <c r="C109" s="12"/>
      <c r="D109"/>
      <c r="E109" s="2"/>
      <c r="F109"/>
    </row>
    <row r="110" spans="1:6" x14ac:dyDescent="0.25">
      <c r="A110" s="11"/>
      <c r="B110" s="11"/>
      <c r="C110" s="12"/>
      <c r="D110"/>
      <c r="E110" s="2"/>
      <c r="F110"/>
    </row>
    <row r="111" spans="1:6" x14ac:dyDescent="0.25">
      <c r="A111" s="11"/>
      <c r="B111" s="11"/>
      <c r="C111" s="12"/>
      <c r="D111"/>
      <c r="E111" s="2"/>
      <c r="F111"/>
    </row>
    <row r="112" spans="1:6" x14ac:dyDescent="0.25">
      <c r="A112" s="11"/>
      <c r="B112" s="11"/>
      <c r="C112" s="12"/>
      <c r="D112"/>
      <c r="E112" s="2"/>
      <c r="F112"/>
    </row>
    <row r="113" spans="1:6" x14ac:dyDescent="0.25">
      <c r="A113" s="11"/>
      <c r="B113" s="11"/>
      <c r="C113" s="12"/>
      <c r="D113"/>
      <c r="E113" s="2"/>
      <c r="F113"/>
    </row>
    <row r="114" spans="1:6" x14ac:dyDescent="0.25">
      <c r="A114" s="11"/>
      <c r="B114" s="11"/>
      <c r="C114" s="12"/>
      <c r="D114"/>
      <c r="E114" s="2"/>
      <c r="F114"/>
    </row>
    <row r="115" spans="1:6" x14ac:dyDescent="0.25">
      <c r="A115" s="11"/>
      <c r="B115" s="11"/>
      <c r="C115" s="12"/>
      <c r="D115"/>
      <c r="E115" s="2"/>
      <c r="F115"/>
    </row>
    <row r="116" spans="1:6" x14ac:dyDescent="0.25">
      <c r="A116" s="11"/>
      <c r="B116" s="11"/>
      <c r="C116" s="12"/>
      <c r="D116"/>
      <c r="E116" s="2"/>
      <c r="F116"/>
    </row>
    <row r="117" spans="1:6" x14ac:dyDescent="0.25">
      <c r="A117" s="11"/>
      <c r="B117" s="11"/>
      <c r="C117" s="12"/>
      <c r="D117"/>
      <c r="E117" s="2"/>
      <c r="F117"/>
    </row>
    <row r="118" spans="1:6" x14ac:dyDescent="0.25">
      <c r="A118" s="11"/>
      <c r="B118" s="11"/>
      <c r="C118" s="12"/>
      <c r="D118"/>
      <c r="E118" s="2"/>
      <c r="F118"/>
    </row>
    <row r="119" spans="1:6" x14ac:dyDescent="0.25">
      <c r="A119" s="11"/>
      <c r="B119" s="11"/>
      <c r="C119" s="12"/>
      <c r="D119"/>
      <c r="E119" s="2"/>
      <c r="F119"/>
    </row>
    <row r="120" spans="1:6" x14ac:dyDescent="0.25">
      <c r="A120" s="11"/>
      <c r="B120" s="11"/>
      <c r="C120" s="12"/>
      <c r="D120"/>
      <c r="F120"/>
    </row>
    <row r="121" spans="1:6" x14ac:dyDescent="0.25">
      <c r="A121" s="11"/>
      <c r="B121" s="11"/>
      <c r="C121" s="12"/>
      <c r="D121"/>
      <c r="F121"/>
    </row>
    <row r="122" spans="1:6" x14ac:dyDescent="0.25">
      <c r="A122" s="11"/>
      <c r="B122" s="11"/>
      <c r="C122" s="12"/>
      <c r="D122"/>
      <c r="F122"/>
    </row>
    <row r="123" spans="1:6" x14ac:dyDescent="0.25">
      <c r="A123" s="11"/>
      <c r="B123" s="11"/>
      <c r="C123"/>
      <c r="D123"/>
      <c r="F123"/>
    </row>
    <row r="124" spans="1:6" x14ac:dyDescent="0.25">
      <c r="A124" s="11"/>
      <c r="B124" s="11"/>
      <c r="C124" s="12"/>
      <c r="D124"/>
      <c r="F124"/>
    </row>
    <row r="125" spans="1:6" x14ac:dyDescent="0.25">
      <c r="A125" s="11"/>
      <c r="B125" s="11"/>
      <c r="C125" s="12"/>
      <c r="D125"/>
      <c r="F125"/>
    </row>
    <row r="126" spans="1:6" x14ac:dyDescent="0.25">
      <c r="A126" s="11"/>
      <c r="B126" s="11"/>
      <c r="C126" s="12"/>
      <c r="D126"/>
      <c r="F126"/>
    </row>
    <row r="127" spans="1:6" x14ac:dyDescent="0.25">
      <c r="A127" s="11"/>
      <c r="B127" s="11"/>
      <c r="C127" s="18"/>
      <c r="D127"/>
      <c r="F127"/>
    </row>
    <row r="128" spans="1:6" x14ac:dyDescent="0.25">
      <c r="A128" s="11"/>
      <c r="B128" s="11"/>
      <c r="C128" s="18"/>
      <c r="D128"/>
      <c r="F128"/>
    </row>
    <row r="129" spans="1:6" x14ac:dyDescent="0.25">
      <c r="A129" s="11"/>
      <c r="B129" s="11"/>
      <c r="C129" s="12"/>
      <c r="D129"/>
      <c r="F129"/>
    </row>
    <row r="130" spans="1:6" x14ac:dyDescent="0.25">
      <c r="A130" s="11"/>
      <c r="B130" s="11"/>
      <c r="C130" s="12"/>
      <c r="D130"/>
      <c r="F130"/>
    </row>
    <row r="131" spans="1:6" x14ac:dyDescent="0.25">
      <c r="A131" s="11"/>
      <c r="B131" s="11"/>
      <c r="C131" s="12"/>
      <c r="D131"/>
      <c r="F131"/>
    </row>
    <row r="132" spans="1:6" x14ac:dyDescent="0.25">
      <c r="A132" s="11"/>
      <c r="B132" s="11"/>
      <c r="C132" s="12"/>
      <c r="D132"/>
      <c r="F132"/>
    </row>
    <row r="133" spans="1:6" x14ac:dyDescent="0.25">
      <c r="A133" s="11"/>
      <c r="B133" s="11"/>
      <c r="C133" s="12"/>
      <c r="D133"/>
      <c r="F133"/>
    </row>
    <row r="134" spans="1:6" x14ac:dyDescent="0.25">
      <c r="A134" s="11"/>
      <c r="B134" s="11"/>
      <c r="C134" s="12"/>
      <c r="D134"/>
      <c r="F134"/>
    </row>
    <row r="135" spans="1:6" x14ac:dyDescent="0.25">
      <c r="A135" s="11"/>
      <c r="B135" s="11"/>
      <c r="C135" s="12"/>
      <c r="D135"/>
      <c r="F135"/>
    </row>
    <row r="136" spans="1:6" x14ac:dyDescent="0.25">
      <c r="A136" s="11"/>
      <c r="B136" s="11"/>
      <c r="C136" s="12"/>
      <c r="D136"/>
      <c r="F136"/>
    </row>
    <row r="137" spans="1:6" x14ac:dyDescent="0.25">
      <c r="A137" s="11"/>
      <c r="B137" s="11"/>
      <c r="C137" s="12"/>
      <c r="D137"/>
      <c r="F137"/>
    </row>
    <row r="138" spans="1:6" x14ac:dyDescent="0.25">
      <c r="A138" s="11"/>
      <c r="B138" s="11"/>
      <c r="C138" s="12"/>
      <c r="D138"/>
      <c r="F138"/>
    </row>
    <row r="139" spans="1:6" x14ac:dyDescent="0.25">
      <c r="A139" s="11"/>
      <c r="B139" s="11"/>
      <c r="C139" s="12"/>
      <c r="D139"/>
      <c r="F139"/>
    </row>
    <row r="140" spans="1:6" x14ac:dyDescent="0.25">
      <c r="A140" s="11"/>
      <c r="B140" s="11"/>
      <c r="C140" s="12"/>
      <c r="D140"/>
      <c r="F140"/>
    </row>
    <row r="141" spans="1:6" x14ac:dyDescent="0.25">
      <c r="A141" s="11"/>
      <c r="B141" s="11"/>
      <c r="C141" s="12"/>
      <c r="D141"/>
      <c r="F141"/>
    </row>
    <row r="142" spans="1:6" x14ac:dyDescent="0.25">
      <c r="A142" s="11"/>
      <c r="B142" s="11"/>
      <c r="C142" s="12"/>
      <c r="D142"/>
      <c r="F142"/>
    </row>
    <row r="143" spans="1:6" x14ac:dyDescent="0.25">
      <c r="A143" s="11"/>
      <c r="B143" s="11"/>
      <c r="C143" s="12"/>
      <c r="D143"/>
      <c r="F143"/>
    </row>
    <row r="144" spans="1:6" x14ac:dyDescent="0.25">
      <c r="A144" s="11"/>
      <c r="B144" s="11"/>
      <c r="C144" s="12"/>
      <c r="D144"/>
      <c r="F144"/>
    </row>
    <row r="145" spans="1:6" x14ac:dyDescent="0.25">
      <c r="A145" s="11"/>
      <c r="B145" s="11"/>
      <c r="C145" s="12"/>
      <c r="D145"/>
      <c r="F145"/>
    </row>
    <row r="146" spans="1:6" x14ac:dyDescent="0.25">
      <c r="A146" s="11"/>
      <c r="B146" s="11"/>
      <c r="C146" s="12"/>
      <c r="D146"/>
      <c r="F146"/>
    </row>
    <row r="147" spans="1:6" x14ac:dyDescent="0.25">
      <c r="A147" s="11"/>
      <c r="B147" s="11"/>
      <c r="C147" s="12"/>
      <c r="D147"/>
      <c r="F147"/>
    </row>
    <row r="148" spans="1:6" x14ac:dyDescent="0.25">
      <c r="A148" s="11"/>
      <c r="B148" s="11"/>
      <c r="C148" s="12"/>
      <c r="D148"/>
      <c r="F148"/>
    </row>
    <row r="149" spans="1:6" x14ac:dyDescent="0.25">
      <c r="A149" s="11"/>
      <c r="B149" s="11"/>
      <c r="C149" s="12"/>
      <c r="D149"/>
      <c r="F149"/>
    </row>
    <row r="150" spans="1:6" x14ac:dyDescent="0.25">
      <c r="A150" s="11"/>
      <c r="B150" s="11"/>
      <c r="C150" s="12"/>
      <c r="D150"/>
      <c r="F150"/>
    </row>
    <row r="151" spans="1:6" x14ac:dyDescent="0.25">
      <c r="A151" s="11"/>
      <c r="B151" s="11"/>
      <c r="C151" s="12"/>
      <c r="D151"/>
      <c r="F151"/>
    </row>
    <row r="152" spans="1:6" x14ac:dyDescent="0.25">
      <c r="A152" s="11"/>
      <c r="B152" s="11"/>
      <c r="C152" s="12"/>
      <c r="D152"/>
      <c r="F152"/>
    </row>
    <row r="153" spans="1:6" x14ac:dyDescent="0.25">
      <c r="A153" s="11"/>
      <c r="B153" s="11"/>
      <c r="C153" s="12"/>
      <c r="D153"/>
      <c r="F153"/>
    </row>
    <row r="154" spans="1:6" x14ac:dyDescent="0.25">
      <c r="A154" s="11"/>
      <c r="B154" s="11"/>
      <c r="C154" s="12"/>
      <c r="D154"/>
      <c r="F154"/>
    </row>
    <row r="155" spans="1:6" x14ac:dyDescent="0.25">
      <c r="A155" s="11"/>
      <c r="B155" s="11"/>
      <c r="C155" s="12"/>
      <c r="D155"/>
      <c r="F155"/>
    </row>
    <row r="156" spans="1:6" x14ac:dyDescent="0.25">
      <c r="A156" s="11"/>
      <c r="B156" s="11"/>
      <c r="C156" s="12"/>
      <c r="D156"/>
      <c r="F156"/>
    </row>
    <row r="157" spans="1:6" x14ac:dyDescent="0.25">
      <c r="A157" s="11"/>
      <c r="B157" s="11"/>
      <c r="C157" s="12"/>
      <c r="D157"/>
      <c r="F157"/>
    </row>
    <row r="158" spans="1:6" x14ac:dyDescent="0.25">
      <c r="A158" s="11"/>
      <c r="B158" s="11"/>
      <c r="C158" s="12"/>
      <c r="D158"/>
      <c r="F158"/>
    </row>
    <row r="159" spans="1:6" x14ac:dyDescent="0.25">
      <c r="A159" s="11"/>
      <c r="B159" s="11"/>
      <c r="C159" s="12"/>
      <c r="D159"/>
      <c r="F159"/>
    </row>
    <row r="160" spans="1:6" x14ac:dyDescent="0.25">
      <c r="A160" s="11"/>
      <c r="B160" s="11"/>
      <c r="C160" s="12"/>
      <c r="D160"/>
      <c r="F160"/>
    </row>
    <row r="161" spans="1:6" x14ac:dyDescent="0.25">
      <c r="A161" s="11"/>
      <c r="B161" s="11"/>
      <c r="C161" s="12"/>
      <c r="D161"/>
      <c r="F161"/>
    </row>
    <row r="162" spans="1:6" x14ac:dyDescent="0.25">
      <c r="A162" s="11"/>
      <c r="B162" s="11"/>
      <c r="C162" s="12"/>
      <c r="D162"/>
      <c r="F162"/>
    </row>
    <row r="163" spans="1:6" x14ac:dyDescent="0.25">
      <c r="A163" s="11"/>
      <c r="B163" s="11"/>
      <c r="C163" s="12"/>
      <c r="D163"/>
      <c r="F163"/>
    </row>
    <row r="164" spans="1:6" x14ac:dyDescent="0.25">
      <c r="A164" s="11"/>
      <c r="B164" s="11"/>
      <c r="C164" s="12"/>
      <c r="D164"/>
      <c r="F164"/>
    </row>
    <row r="165" spans="1:6" x14ac:dyDescent="0.25">
      <c r="A165" s="11"/>
      <c r="B165" s="11"/>
      <c r="C165" s="12"/>
      <c r="D165"/>
      <c r="F165"/>
    </row>
    <row r="166" spans="1:6" x14ac:dyDescent="0.25">
      <c r="A166" s="11"/>
      <c r="B166" s="11"/>
      <c r="C166" s="12"/>
      <c r="D166"/>
      <c r="F166"/>
    </row>
    <row r="167" spans="1:6" x14ac:dyDescent="0.25">
      <c r="A167" s="11"/>
      <c r="B167" s="11"/>
      <c r="C167" s="12"/>
      <c r="D167"/>
      <c r="F167"/>
    </row>
    <row r="168" spans="1:6" x14ac:dyDescent="0.25">
      <c r="A168" s="11"/>
      <c r="B168" s="11"/>
      <c r="C168" s="12"/>
      <c r="D168"/>
      <c r="F168"/>
    </row>
    <row r="169" spans="1:6" x14ac:dyDescent="0.25">
      <c r="A169" s="11"/>
      <c r="B169" s="11"/>
      <c r="C169" s="12"/>
      <c r="D169"/>
      <c r="F169"/>
    </row>
    <row r="170" spans="1:6" x14ac:dyDescent="0.25">
      <c r="A170" s="11"/>
      <c r="B170" s="11"/>
      <c r="C170" s="12"/>
      <c r="D170"/>
      <c r="F170"/>
    </row>
    <row r="171" spans="1:6" x14ac:dyDescent="0.25">
      <c r="A171" s="11"/>
      <c r="B171" s="11"/>
      <c r="C171" s="12"/>
      <c r="D171"/>
      <c r="F171"/>
    </row>
    <row r="172" spans="1:6" x14ac:dyDescent="0.25">
      <c r="A172" s="11"/>
      <c r="B172" s="11"/>
      <c r="C172" s="12"/>
      <c r="D172"/>
      <c r="F172"/>
    </row>
    <row r="173" spans="1:6" x14ac:dyDescent="0.25">
      <c r="A173" s="11"/>
      <c r="B173" s="11"/>
      <c r="C173" s="12"/>
      <c r="D173"/>
      <c r="F173"/>
    </row>
    <row r="174" spans="1:6" x14ac:dyDescent="0.25">
      <c r="A174" s="11"/>
      <c r="B174" s="11"/>
      <c r="C174" s="12"/>
      <c r="D174"/>
      <c r="F174"/>
    </row>
    <row r="175" spans="1:6" x14ac:dyDescent="0.25">
      <c r="A175" s="11"/>
      <c r="B175" s="11"/>
      <c r="C175" s="12"/>
      <c r="D175"/>
      <c r="F175"/>
    </row>
    <row r="176" spans="1:6" x14ac:dyDescent="0.25">
      <c r="A176" s="11"/>
      <c r="B176" s="11"/>
      <c r="C176" s="12"/>
      <c r="D176"/>
      <c r="F176"/>
    </row>
    <row r="177" spans="1:6" x14ac:dyDescent="0.25">
      <c r="A177" s="11"/>
      <c r="B177" s="11"/>
      <c r="C177" s="12"/>
      <c r="D177"/>
      <c r="F177"/>
    </row>
    <row r="178" spans="1:6" x14ac:dyDescent="0.25">
      <c r="A178" s="11"/>
      <c r="B178" s="11"/>
      <c r="C178" s="12"/>
      <c r="D178"/>
      <c r="F178"/>
    </row>
    <row r="179" spans="1:6" x14ac:dyDescent="0.25">
      <c r="A179" s="11"/>
      <c r="B179" s="11"/>
      <c r="C179" s="12"/>
      <c r="D179"/>
      <c r="F179"/>
    </row>
    <row r="180" spans="1:6" x14ac:dyDescent="0.25">
      <c r="A180" s="11"/>
      <c r="B180" s="11"/>
      <c r="C180" s="12"/>
      <c r="D180"/>
      <c r="F180"/>
    </row>
    <row r="181" spans="1:6" x14ac:dyDescent="0.25">
      <c r="A181" s="11"/>
      <c r="B181" s="11"/>
      <c r="C181" s="12"/>
      <c r="D181"/>
      <c r="F181"/>
    </row>
    <row r="182" spans="1:6" x14ac:dyDescent="0.25">
      <c r="A182" s="11"/>
      <c r="B182" s="11"/>
      <c r="C182" s="12"/>
      <c r="D182"/>
      <c r="F182"/>
    </row>
    <row r="183" spans="1:6" x14ac:dyDescent="0.25">
      <c r="A183" s="11"/>
      <c r="B183" s="11"/>
      <c r="C183" s="12"/>
      <c r="D183"/>
      <c r="F183"/>
    </row>
    <row r="184" spans="1:6" x14ac:dyDescent="0.25">
      <c r="A184" s="11"/>
      <c r="B184" s="11"/>
      <c r="C184" s="12"/>
      <c r="D184"/>
      <c r="F184"/>
    </row>
    <row r="185" spans="1:6" x14ac:dyDescent="0.25">
      <c r="A185" s="11"/>
      <c r="B185" s="11"/>
      <c r="C185" s="12"/>
      <c r="D185"/>
      <c r="F185"/>
    </row>
    <row r="186" spans="1:6" x14ac:dyDescent="0.25">
      <c r="A186" s="11"/>
      <c r="B186" s="11"/>
      <c r="C186" s="12"/>
      <c r="D186"/>
      <c r="F186"/>
    </row>
    <row r="187" spans="1:6" x14ac:dyDescent="0.25">
      <c r="A187" s="11"/>
      <c r="B187" s="11"/>
      <c r="C187" s="12"/>
      <c r="D187"/>
      <c r="F187"/>
    </row>
    <row r="188" spans="1:6" x14ac:dyDescent="0.25">
      <c r="A188" s="11"/>
      <c r="B188" s="11"/>
      <c r="C188"/>
      <c r="D188"/>
      <c r="F188"/>
    </row>
    <row r="189" spans="1:6" x14ac:dyDescent="0.25">
      <c r="A189"/>
      <c r="B189" s="11"/>
      <c r="C189"/>
      <c r="D189"/>
      <c r="F189"/>
    </row>
    <row r="190" spans="1:6" x14ac:dyDescent="0.25">
      <c r="A190"/>
      <c r="B190" s="11"/>
      <c r="C190"/>
      <c r="D190"/>
      <c r="F190"/>
    </row>
    <row r="191" spans="1:6" x14ac:dyDescent="0.25">
      <c r="A191"/>
      <c r="B191" s="11"/>
      <c r="C191"/>
      <c r="D191"/>
      <c r="F191"/>
    </row>
    <row r="192" spans="1:6" x14ac:dyDescent="0.25">
      <c r="A192"/>
      <c r="B192" s="11"/>
      <c r="C192"/>
      <c r="D192"/>
      <c r="F192"/>
    </row>
    <row r="193" spans="1:6" x14ac:dyDescent="0.25">
      <c r="A193"/>
      <c r="B193" s="11"/>
      <c r="C193"/>
      <c r="D193"/>
      <c r="F193"/>
    </row>
    <row r="194" spans="1:6" x14ac:dyDescent="0.25">
      <c r="A194"/>
      <c r="B194" s="11"/>
      <c r="C194"/>
      <c r="D194"/>
      <c r="F194"/>
    </row>
    <row r="195" spans="1:6" x14ac:dyDescent="0.25">
      <c r="A195"/>
      <c r="B195" s="11"/>
      <c r="C195"/>
      <c r="D195"/>
      <c r="F195"/>
    </row>
    <row r="196" spans="1:6" x14ac:dyDescent="0.25">
      <c r="A196"/>
      <c r="B196" s="11"/>
      <c r="C196"/>
      <c r="D196"/>
      <c r="F196"/>
    </row>
    <row r="197" spans="1:6" x14ac:dyDescent="0.25">
      <c r="A197"/>
      <c r="B197" s="11"/>
      <c r="C197"/>
      <c r="D197"/>
      <c r="F197"/>
    </row>
    <row r="198" spans="1:6" x14ac:dyDescent="0.25">
      <c r="E198" s="2"/>
    </row>
    <row r="199" spans="1:6" x14ac:dyDescent="0.25">
      <c r="E199" s="2"/>
    </row>
    <row r="200" spans="1:6" x14ac:dyDescent="0.25">
      <c r="E200" s="2"/>
    </row>
    <row r="201" spans="1:6" x14ac:dyDescent="0.25">
      <c r="E201" s="2"/>
    </row>
    <row r="202" spans="1:6" x14ac:dyDescent="0.25">
      <c r="E202" s="2"/>
    </row>
    <row r="203" spans="1:6" x14ac:dyDescent="0.25">
      <c r="E203" s="2"/>
    </row>
    <row r="204" spans="1:6" x14ac:dyDescent="0.25">
      <c r="E204" s="2"/>
    </row>
    <row r="205" spans="1:6" x14ac:dyDescent="0.25">
      <c r="E205" s="2"/>
    </row>
    <row r="206" spans="1:6" x14ac:dyDescent="0.25">
      <c r="E206" s="2"/>
    </row>
    <row r="207" spans="1:6" x14ac:dyDescent="0.25">
      <c r="E207" s="2"/>
    </row>
    <row r="208" spans="1:6" x14ac:dyDescent="0.25">
      <c r="E208" s="2"/>
    </row>
    <row r="209" spans="5:5" x14ac:dyDescent="0.25">
      <c r="E209" s="2"/>
    </row>
    <row r="210" spans="5:5" x14ac:dyDescent="0.25">
      <c r="E210" s="2"/>
    </row>
    <row r="211" spans="5:5" x14ac:dyDescent="0.25">
      <c r="E211" s="2"/>
    </row>
    <row r="212" spans="5:5" x14ac:dyDescent="0.25">
      <c r="E212" s="2"/>
    </row>
    <row r="213" spans="5:5" x14ac:dyDescent="0.25">
      <c r="E213" s="2"/>
    </row>
    <row r="214" spans="5:5" x14ac:dyDescent="0.25">
      <c r="E214" s="2"/>
    </row>
    <row r="215" spans="5:5" x14ac:dyDescent="0.25">
      <c r="E215" s="2"/>
    </row>
    <row r="216" spans="5:5" x14ac:dyDescent="0.25">
      <c r="E216" s="2"/>
    </row>
    <row r="217" spans="5:5" x14ac:dyDescent="0.25">
      <c r="E217" s="2"/>
    </row>
    <row r="218" spans="5:5" x14ac:dyDescent="0.25">
      <c r="E218" s="2"/>
    </row>
    <row r="219" spans="5:5" x14ac:dyDescent="0.25">
      <c r="E219" s="2"/>
    </row>
    <row r="220" spans="5:5" x14ac:dyDescent="0.25">
      <c r="E220" s="2"/>
    </row>
    <row r="221" spans="5:5" x14ac:dyDescent="0.25">
      <c r="E221" s="2"/>
    </row>
    <row r="222" spans="5:5" x14ac:dyDescent="0.25">
      <c r="E222" s="2"/>
    </row>
    <row r="223" spans="5:5" x14ac:dyDescent="0.25">
      <c r="E223" s="2"/>
    </row>
    <row r="224" spans="5:5" x14ac:dyDescent="0.25">
      <c r="E224" s="2"/>
    </row>
    <row r="225" spans="5:5" x14ac:dyDescent="0.25">
      <c r="E225" s="2"/>
    </row>
    <row r="226" spans="5:5" x14ac:dyDescent="0.25">
      <c r="E226" s="2"/>
    </row>
    <row r="227" spans="5:5" x14ac:dyDescent="0.25">
      <c r="E227" s="2"/>
    </row>
    <row r="228" spans="5:5" x14ac:dyDescent="0.25">
      <c r="E228" s="2"/>
    </row>
    <row r="229" spans="5:5" x14ac:dyDescent="0.25">
      <c r="E229" s="2"/>
    </row>
    <row r="230" spans="5:5" x14ac:dyDescent="0.25">
      <c r="E230" s="2"/>
    </row>
    <row r="231" spans="5:5" x14ac:dyDescent="0.25">
      <c r="E231" s="2"/>
    </row>
    <row r="232" spans="5:5" x14ac:dyDescent="0.25">
      <c r="E232" s="2"/>
    </row>
    <row r="233" spans="5:5" x14ac:dyDescent="0.25">
      <c r="E233" s="2"/>
    </row>
    <row r="234" spans="5:5" x14ac:dyDescent="0.25">
      <c r="E234" s="2"/>
    </row>
    <row r="235" spans="5:5" x14ac:dyDescent="0.25">
      <c r="E235" s="2"/>
    </row>
  </sheetData>
  <phoneticPr fontId="5" type="noConversion"/>
  <hyperlinks>
    <hyperlink ref="D2" r:id="rId1" xr:uid="{F8336E12-6EBA-4234-802C-E2A24914A16F}"/>
    <hyperlink ref="D3" r:id="rId2" xr:uid="{C3A44ABF-A0BE-47F0-B194-666DA97F53E1}"/>
    <hyperlink ref="D4" r:id="rId3" xr:uid="{649395FB-F3B7-45E8-AB5B-7090962C3A15}"/>
    <hyperlink ref="D6" r:id="rId4" xr:uid="{D31E8D94-0D98-4DE7-829E-503EA3F5A135}"/>
    <hyperlink ref="D7" r:id="rId5" xr:uid="{DFCD972E-04F7-4992-B99D-EA54C3C6283E}"/>
    <hyperlink ref="D8" r:id="rId6" xr:uid="{9671DDC0-3E31-485C-BF9B-04F83CD432C3}"/>
    <hyperlink ref="D9" r:id="rId7" display="éveloppement d'Un Site Intranet Métier" xr:uid="{85E4F1FA-E8BA-490A-850D-70F87886E595}"/>
    <hyperlink ref="D10" r:id="rId8" xr:uid="{CBBEC787-7B7D-4E3E-ADC1-E933FCEF6078}"/>
    <hyperlink ref="C11" r:id="rId9" tooltip="Dassault Systèmes recrutement" display="https://www.hellowork.com/fr-fr/entreprises/dassault-systemes-164454.html" xr:uid="{ACD2F1BF-89DF-45DC-9D95-364988B224F7}"/>
    <hyperlink ref="D11" r:id="rId10" xr:uid="{CE117E7A-E757-4E46-9644-FE61F5EEA21F}"/>
    <hyperlink ref="D12" r:id="rId11" xr:uid="{45E84C81-A583-49D2-B681-6AC39C627FFC}"/>
    <hyperlink ref="D13" r:id="rId12" xr:uid="{036269D9-CFA5-456F-B661-354B3FAD6D46}"/>
    <hyperlink ref="D14" r:id="rId13" xr:uid="{C6A277FD-BBD1-4AD6-8770-A4D3454B79A6}"/>
    <hyperlink ref="D15" r:id="rId14" xr:uid="{8838B1E2-2F25-4525-8FD9-F50AF57594AC}"/>
    <hyperlink ref="D16" r:id="rId15" xr:uid="{CC6D821C-1663-4E48-BC0D-C72C662D4EE7}"/>
    <hyperlink ref="D17" r:id="rId16" xr:uid="{F23BA611-5C29-4E0B-959C-CB52CD1C5124}"/>
    <hyperlink ref="C17" r:id="rId17" tooltip="OTC FLOW FRANCE recrutement" display="https://www.hellowork.com/fr-fr/entreprises/otc-flow-france-175918.html" xr:uid="{8F380F24-DABC-4C02-B84A-CBFD1E44ACE4}"/>
    <hyperlink ref="D18" r:id="rId18" xr:uid="{BB80295F-951B-49EA-8B7B-49833D5B65FC}"/>
    <hyperlink ref="D19" r:id="rId19" xr:uid="{2C692312-9398-4B4D-BAE4-102526CF142D}"/>
    <hyperlink ref="C19" r:id="rId20" display="https://fr.indeed.com/cmp/Bureau-Veritas?campaignid=mobvjcmp&amp;from=mobviewjob&amp;tk=1jci0pqbm2e7806e&amp;fromjk=a039a62079918e3a" xr:uid="{123C312C-3852-45D2-B080-A4F250F81BC0}"/>
    <hyperlink ref="D20" r:id="rId21" xr:uid="{778699EE-772D-440D-A193-F269F1112A8A}"/>
    <hyperlink ref="D22" r:id="rId22" xr:uid="{8545A658-37F8-4DF5-80BB-63A240E9711B}"/>
  </hyperlinks>
  <pageMargins left="0.7" right="0.7" top="0.75" bottom="0.75" header="0.3" footer="0.3"/>
  <pageSetup paperSize="9" orientation="portrait" r:id="rId23"/>
  <drawing r:id="rId24"/>
  <tableParts count="2">
    <tablePart r:id="rId25"/>
    <tablePart r:id="rId2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id="{FC20B2ED-63F4-42D3-9557-321A5B294A40}">
            <xm:f>NOT(ISERROR(SEARCH(Feuil3!$B$12,D1)))</xm:f>
            <xm:f>Feuil3!$B$12</xm:f>
            <x14:dxf>
              <font>
                <color rgb="FFFFC000"/>
              </font>
            </x14:dxf>
          </x14:cfRule>
          <xm:sqref>D1:D25</xm:sqref>
        </x14:conditionalFormatting>
        <x14:conditionalFormatting xmlns:xm="http://schemas.microsoft.com/office/excel/2006/main">
          <x14:cfRule type="containsText" priority="7" operator="containsText" id="{2EFE4656-1B4C-422B-AD96-F3279C7F0D1B}">
            <xm:f>NOT(ISERROR(SEARCH(Feuil3!$A$6,E1)))</xm:f>
            <xm:f>Feuil3!$A$6</xm:f>
            <x14:dxf>
              <fill>
                <patternFill>
                  <bgColor rgb="FFFFFF00"/>
                </patternFill>
              </fill>
            </x14:dxf>
          </x14:cfRule>
          <x14:cfRule type="containsText" priority="9" operator="containsText" id="{16788982-0E41-402E-A827-CA34D2D4E383}">
            <xm:f>NOT(ISERROR(SEARCH(Feuil3!$A$5,E1)))</xm:f>
            <xm:f>Feuil3!$A$5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1" operator="containsText" id="{8C7B4BCA-2065-4744-B7C9-7E9D70F1866E}">
            <xm:f>NOT(ISERROR(SEARCH(Feuil3!$A$3,E1)))</xm:f>
            <xm:f>Feuil3!$A$3</xm:f>
            <x14:dxf>
              <fill>
                <patternFill>
                  <bgColor rgb="FFFFC000"/>
                </patternFill>
              </fill>
            </x14:dxf>
          </x14:cfRule>
          <x14:cfRule type="containsText" priority="13" operator="containsText" id="{3F2FBA10-2A19-46FF-AE21-A8ECAEE92BF0}">
            <xm:f>NOT(ISERROR(SEARCH(Feuil3!$A$4,E1)))</xm:f>
            <xm:f>Feuil3!$A$4</xm:f>
            <x14:dxf>
              <fill>
                <patternFill>
                  <bgColor rgb="FFFF0000"/>
                </patternFill>
              </fill>
            </x14:dxf>
          </x14:cfRule>
          <xm:sqref>E1:E25</xm:sqref>
        </x14:conditionalFormatting>
        <x14:conditionalFormatting xmlns:xm="http://schemas.microsoft.com/office/excel/2006/main">
          <x14:cfRule type="containsText" priority="8" operator="containsText" id="{C717AC64-F3D4-4079-AAEF-ADDFD35A84EA}">
            <xm:f>NOT(ISERROR(SEARCH(Feuil3!$A$6,F12)))</xm:f>
            <xm:f>Feuil3!$A$6</xm:f>
            <x14:dxf>
              <fill>
                <patternFill>
                  <bgColor rgb="FFFFFF00"/>
                </patternFill>
              </fill>
            </x14:dxf>
          </x14:cfRule>
          <xm:sqref>F12</xm:sqref>
        </x14:conditionalFormatting>
        <x14:conditionalFormatting xmlns:xm="http://schemas.microsoft.com/office/excel/2006/main">
          <x14:cfRule type="containsText" priority="1" operator="containsText" id="{441F31E4-163F-495D-B299-4E8AD9B15B67}">
            <xm:f>NOT(ISERROR(SEARCH(Feuil3!$A$4,S1)))</xm:f>
            <xm:f>Feuil3!$A$4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2" operator="containsText" id="{44BDC4B1-08BE-4048-8EC5-8D269316F524}">
            <xm:f>NOT(ISERROR(SEARCH(Feuil3!$A$3,S1)))</xm:f>
            <xm:f>Feuil3!$A$3</xm:f>
            <x14:dxf>
              <fill>
                <patternFill>
                  <bgColor rgb="FFFFC000"/>
                </patternFill>
              </fill>
            </x14:dxf>
          </x14:cfRule>
          <x14:cfRule type="containsText" priority="3" operator="containsText" id="{44A4F5B2-EDCD-43F9-AA35-352E02395155}">
            <xm:f>NOT(ISERROR(SEARCH(Feuil3!$A$2,S1)))</xm:f>
            <xm:f>Feuil3!$A$2</xm:f>
            <x14:dxf>
              <font>
                <color auto="1"/>
              </font>
              <fill>
                <patternFill>
                  <bgColor theme="9" tint="0.59996337778862885"/>
                </patternFill>
              </fill>
            </x14:dxf>
          </x14:cfRule>
          <xm:sqref>S1:S12 T12</xm:sqref>
        </x14:conditionalFormatting>
        <x14:conditionalFormatting xmlns:xm="http://schemas.microsoft.com/office/excel/2006/main">
          <x14:cfRule type="containsText" priority="4" operator="containsText" id="{93AADE61-4FDB-428F-8878-539A5B6BCC73}">
            <xm:f>NOT(ISERROR(SEARCH(Feuil3!$A$4,S23)))</xm:f>
            <xm:f>Feuil3!$A$4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5" operator="containsText" id="{F8AF7AF4-1F05-4047-831A-9B83B81DEAAF}">
            <xm:f>NOT(ISERROR(SEARCH(Feuil3!$A$3,S23)))</xm:f>
            <xm:f>Feuil3!$A$3</xm:f>
            <x14:dxf>
              <fill>
                <patternFill>
                  <bgColor rgb="FFFFC000"/>
                </patternFill>
              </fill>
            </x14:dxf>
          </x14:cfRule>
          <x14:cfRule type="containsText" priority="6" operator="containsText" id="{FF488283-B350-42AA-8331-F2B1881A70E9}">
            <xm:f>NOT(ISERROR(SEARCH(Feuil3!$A$2,S23)))</xm:f>
            <xm:f>Feuil3!$A$2</xm:f>
            <x14:dxf>
              <font>
                <color auto="1"/>
              </font>
              <fill>
                <patternFill>
                  <bgColor theme="9" tint="0.59996337778862885"/>
                </patternFill>
              </fill>
            </x14:dxf>
          </x14:cfRule>
          <xm:sqref>S23:S34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DCFB15A-0FBF-4466-B20A-39F61771F7E6}">
          <x14:formula1>
            <xm:f>Feuil3!$A$2:$A$6</xm:f>
          </x14:formula1>
          <xm:sqref>E1:E25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ECF57-3A8A-4564-8CBB-7F316929F0BE}">
  <dimension ref="A1:W40"/>
  <sheetViews>
    <sheetView workbookViewId="0">
      <selection activeCell="B20" sqref="B20"/>
    </sheetView>
  </sheetViews>
  <sheetFormatPr baseColWidth="10" defaultRowHeight="15" x14ac:dyDescent="0.25"/>
  <cols>
    <col min="3" max="3" width="20.7109375" customWidth="1"/>
    <col min="7" max="7" width="19.42578125" customWidth="1"/>
    <col min="12" max="12" width="17.85546875" customWidth="1"/>
    <col min="13" max="13" width="26.28515625" customWidth="1"/>
    <col min="14" max="14" width="5.7109375" customWidth="1"/>
    <col min="15" max="15" width="16.7109375" customWidth="1"/>
  </cols>
  <sheetData>
    <row r="1" spans="1:23" x14ac:dyDescent="0.25">
      <c r="A1" s="11" t="s">
        <v>0</v>
      </c>
      <c r="B1" t="s">
        <v>9</v>
      </c>
      <c r="C1" t="s">
        <v>10</v>
      </c>
      <c r="D1" t="s">
        <v>115</v>
      </c>
      <c r="E1" t="s">
        <v>114</v>
      </c>
      <c r="F1" t="s">
        <v>120</v>
      </c>
      <c r="G1" t="s">
        <v>34</v>
      </c>
      <c r="H1" s="8"/>
      <c r="I1" s="8"/>
      <c r="J1" s="8"/>
      <c r="K1" s="8"/>
      <c r="L1" t="s">
        <v>25</v>
      </c>
      <c r="M1" t="s">
        <v>53</v>
      </c>
      <c r="N1" t="s">
        <v>54</v>
      </c>
      <c r="O1" t="s">
        <v>55</v>
      </c>
      <c r="P1" t="s">
        <v>146</v>
      </c>
      <c r="Q1" s="8"/>
      <c r="R1" s="8"/>
      <c r="S1" s="8"/>
      <c r="T1" s="8"/>
      <c r="U1" s="8"/>
      <c r="V1" s="8"/>
      <c r="W1" s="8"/>
    </row>
    <row r="2" spans="1:23" x14ac:dyDescent="0.25">
      <c r="A2" s="11"/>
      <c r="B2" s="12"/>
      <c r="H2" s="8"/>
      <c r="I2" s="8"/>
      <c r="J2" s="8"/>
      <c r="K2" s="8"/>
      <c r="L2" t="s">
        <v>149</v>
      </c>
      <c r="M2" s="12" t="s">
        <v>144</v>
      </c>
      <c r="N2" t="s">
        <v>145</v>
      </c>
      <c r="O2" s="12" t="s">
        <v>147</v>
      </c>
      <c r="P2" t="s">
        <v>148</v>
      </c>
      <c r="Q2" s="8"/>
      <c r="R2" s="8"/>
      <c r="S2" s="8"/>
      <c r="T2" s="8"/>
      <c r="U2" s="8"/>
      <c r="V2" s="8"/>
      <c r="W2" s="8"/>
    </row>
    <row r="3" spans="1:23" x14ac:dyDescent="0.25">
      <c r="A3" s="11"/>
      <c r="B3" s="18" t="s">
        <v>118</v>
      </c>
      <c r="C3" s="18" t="s">
        <v>111</v>
      </c>
      <c r="D3" t="s">
        <v>123</v>
      </c>
      <c r="E3" t="s">
        <v>122</v>
      </c>
      <c r="F3" t="s">
        <v>121</v>
      </c>
      <c r="H3" s="8"/>
      <c r="I3" s="8"/>
      <c r="J3" s="8"/>
      <c r="K3" s="8"/>
      <c r="Q3" s="8"/>
      <c r="R3" s="8"/>
      <c r="S3" s="8"/>
      <c r="T3" s="8"/>
      <c r="U3" s="8"/>
      <c r="V3" s="8"/>
      <c r="W3" s="8"/>
    </row>
    <row r="4" spans="1:23" x14ac:dyDescent="0.25">
      <c r="A4" s="11"/>
      <c r="B4" s="18" t="s">
        <v>112</v>
      </c>
      <c r="C4" s="18" t="s">
        <v>113</v>
      </c>
      <c r="D4" t="s">
        <v>116</v>
      </c>
      <c r="E4" t="s">
        <v>117</v>
      </c>
      <c r="F4" t="s">
        <v>119</v>
      </c>
      <c r="H4" s="8"/>
      <c r="I4" s="8"/>
      <c r="J4" s="8"/>
      <c r="K4" s="8"/>
      <c r="Q4" s="8"/>
      <c r="R4" s="8"/>
      <c r="S4" s="8"/>
      <c r="T4" s="8"/>
      <c r="U4" s="8"/>
      <c r="V4" s="8"/>
      <c r="W4" s="8"/>
    </row>
    <row r="5" spans="1:23" x14ac:dyDescent="0.25">
      <c r="A5" s="11"/>
      <c r="B5" s="12" t="s">
        <v>125</v>
      </c>
      <c r="C5" s="18" t="s">
        <v>132</v>
      </c>
      <c r="D5" t="s">
        <v>128</v>
      </c>
      <c r="E5" t="s">
        <v>127</v>
      </c>
      <c r="G5" t="s">
        <v>124</v>
      </c>
      <c r="H5" s="8"/>
      <c r="I5" s="8"/>
      <c r="J5" s="8"/>
      <c r="K5" s="8"/>
      <c r="Q5" s="8"/>
      <c r="R5" s="8"/>
      <c r="S5" s="8"/>
      <c r="T5" s="8"/>
      <c r="U5" s="8"/>
      <c r="V5" s="8"/>
      <c r="W5" s="8"/>
    </row>
    <row r="6" spans="1:23" x14ac:dyDescent="0.25">
      <c r="A6" s="11"/>
      <c r="B6" s="12" t="s">
        <v>133</v>
      </c>
      <c r="C6" s="18" t="s">
        <v>131</v>
      </c>
      <c r="D6" t="s">
        <v>130</v>
      </c>
      <c r="F6" t="s">
        <v>129</v>
      </c>
      <c r="G6" t="s">
        <v>124</v>
      </c>
      <c r="H6" s="8"/>
      <c r="I6" s="8"/>
      <c r="J6" s="8"/>
      <c r="K6" s="8"/>
      <c r="Q6" s="8"/>
      <c r="R6" s="8"/>
      <c r="S6" s="8"/>
      <c r="T6" s="8"/>
      <c r="U6" s="8"/>
      <c r="V6" s="8"/>
      <c r="W6" s="8"/>
    </row>
    <row r="7" spans="1:23" x14ac:dyDescent="0.25">
      <c r="A7" s="11"/>
      <c r="B7" s="18" t="s">
        <v>135</v>
      </c>
      <c r="C7" s="18" t="s">
        <v>134</v>
      </c>
      <c r="D7" t="s">
        <v>126</v>
      </c>
      <c r="E7" t="s">
        <v>137</v>
      </c>
      <c r="F7" t="s">
        <v>136</v>
      </c>
      <c r="G7" t="s">
        <v>124</v>
      </c>
      <c r="H7" s="8"/>
      <c r="I7" s="8"/>
      <c r="J7" s="8"/>
      <c r="K7" s="8"/>
      <c r="Q7" s="8"/>
      <c r="R7" s="8"/>
      <c r="S7" s="8"/>
      <c r="T7" s="8"/>
      <c r="U7" s="8"/>
      <c r="V7" s="8"/>
      <c r="W7" s="8"/>
    </row>
    <row r="8" spans="1:23" x14ac:dyDescent="0.25">
      <c r="A8" s="11"/>
      <c r="B8" s="18" t="s">
        <v>140</v>
      </c>
      <c r="C8" s="18" t="s">
        <v>141</v>
      </c>
      <c r="D8" t="s">
        <v>143</v>
      </c>
      <c r="E8" t="s">
        <v>142</v>
      </c>
      <c r="F8" t="s">
        <v>139</v>
      </c>
      <c r="G8" t="s">
        <v>138</v>
      </c>
      <c r="H8" s="8"/>
      <c r="I8" s="8"/>
      <c r="J8" s="8"/>
      <c r="K8" s="8"/>
      <c r="Q8" s="8"/>
      <c r="R8" s="8"/>
      <c r="S8" s="8"/>
      <c r="T8" s="8"/>
      <c r="U8" s="8"/>
      <c r="V8" s="8"/>
      <c r="W8" s="8"/>
    </row>
    <row r="9" spans="1:23" x14ac:dyDescent="0.25">
      <c r="A9" s="11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x14ac:dyDescent="0.25">
      <c r="A10" s="11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x14ac:dyDescent="0.25">
      <c r="A11" s="11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x14ac:dyDescent="0.25">
      <c r="A12" s="11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 x14ac:dyDescent="0.25">
      <c r="A13" s="11"/>
      <c r="B13" s="12" t="s">
        <v>152</v>
      </c>
      <c r="C13" s="12" t="s">
        <v>151</v>
      </c>
      <c r="D13" t="s">
        <v>130</v>
      </c>
      <c r="E13" t="s">
        <v>150</v>
      </c>
      <c r="F13" t="s">
        <v>153</v>
      </c>
      <c r="G13" t="s">
        <v>154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 x14ac:dyDescent="0.25">
      <c r="A14" s="11"/>
      <c r="B14" s="12" t="s">
        <v>152</v>
      </c>
      <c r="C14" s="12" t="s">
        <v>155</v>
      </c>
      <c r="D14" t="s">
        <v>156</v>
      </c>
      <c r="E14" t="s">
        <v>157</v>
      </c>
      <c r="F14" t="s">
        <v>158</v>
      </c>
      <c r="G14" t="s">
        <v>159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 x14ac:dyDescent="0.25">
      <c r="A15" s="11"/>
      <c r="B15" s="12" t="s">
        <v>152</v>
      </c>
      <c r="C15" s="12" t="s">
        <v>160</v>
      </c>
      <c r="D15" t="s">
        <v>157</v>
      </c>
      <c r="E15" t="s">
        <v>130</v>
      </c>
      <c r="F15" t="s">
        <v>161</v>
      </c>
      <c r="G15" t="s">
        <v>154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 x14ac:dyDescent="0.25">
      <c r="A16" s="11"/>
      <c r="B16" s="12" t="s">
        <v>164</v>
      </c>
      <c r="C16" t="s">
        <v>165</v>
      </c>
      <c r="D16" t="s">
        <v>167</v>
      </c>
      <c r="E16" t="s">
        <v>166</v>
      </c>
      <c r="F16" t="s">
        <v>163</v>
      </c>
      <c r="G16" t="s">
        <v>162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 x14ac:dyDescent="0.25">
      <c r="A17" s="11"/>
      <c r="B17" t="s">
        <v>152</v>
      </c>
      <c r="C17" s="12" t="s">
        <v>168</v>
      </c>
      <c r="D17" t="s">
        <v>116</v>
      </c>
      <c r="E17" t="s">
        <v>166</v>
      </c>
      <c r="F17">
        <v>600</v>
      </c>
      <c r="G17" t="s">
        <v>154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x14ac:dyDescent="0.25">
      <c r="A18" s="1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 x14ac:dyDescent="0.25">
      <c r="A19" s="11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 x14ac:dyDescent="0.25">
      <c r="A20" s="11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 x14ac:dyDescent="0.25">
      <c r="A21" s="11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</sheetData>
  <phoneticPr fontId="5" type="noConversion"/>
  <hyperlinks>
    <hyperlink ref="B3" r:id="rId1" display="Résidence" xr:uid="{2E8DBC58-DE14-4230-85A0-1AC5C83C5551}"/>
    <hyperlink ref="C3" r:id="rId2" xr:uid="{D5FE80E4-87B8-4C76-8F27-A18448DDD562}"/>
    <hyperlink ref="B4" r:id="rId3" xr:uid="{46A4CB0D-2B7C-481B-B19F-AA0289FE406D}"/>
    <hyperlink ref="C4" r:id="rId4" xr:uid="{853C9FD3-DD18-4570-B27F-9172BDE7C19D}"/>
    <hyperlink ref="B5" r:id="rId5" xr:uid="{92D3D31D-0827-414B-B110-AF9805F71E5A}"/>
    <hyperlink ref="C6" r:id="rId6" xr:uid="{AFAB66AF-CE4C-4717-875D-2DC320412C4F}"/>
    <hyperlink ref="C5" r:id="rId7" display=" Saint-Cloud" xr:uid="{49D4A737-2B06-4439-A78B-AC927962767B}"/>
    <hyperlink ref="B6" r:id="rId8" xr:uid="{E68B0B45-6A46-4B3F-8013-722F353BCEB8}"/>
    <hyperlink ref="C7" r:id="rId9" xr:uid="{F6DEAA08-596A-459A-9804-F2E070B311EC}"/>
    <hyperlink ref="B7" r:id="rId10" xr:uid="{B4C80FCD-2F3E-400C-AF14-502B38DC8539}"/>
    <hyperlink ref="C8" r:id="rId11" xr:uid="{E626295C-44BE-4896-B539-D5BE4E89CE48}"/>
    <hyperlink ref="B8" r:id="rId12" xr:uid="{0FBEB1F2-06B3-47EB-B9B8-0FBEE3186CF8}"/>
    <hyperlink ref="O2" r:id="rId13" xr:uid="{C9A187BD-60FC-4818-8552-32A04D5E2635}"/>
    <hyperlink ref="M2" r:id="rId14" xr:uid="{9ED5EC2D-D0A7-4C07-8873-A6BB91151195}"/>
    <hyperlink ref="C13" r:id="rId15" xr:uid="{FB1C2010-1B10-4495-972C-D77EAB135253}"/>
    <hyperlink ref="B13" r:id="rId16" xr:uid="{3ED161EA-D9C1-4145-AFD1-AA8C7194C1A7}"/>
    <hyperlink ref="C14" r:id="rId17" xr:uid="{A2A125D5-6ED0-4FB1-ABEE-94164F912D1F}"/>
    <hyperlink ref="B14" r:id="rId18" location="chambre_1" xr:uid="{311804D2-7D6A-4610-9B50-39C8F3D8DFEF}"/>
    <hyperlink ref="C15" r:id="rId19" xr:uid="{FA3D8BEC-4BEF-4CAB-A3B3-F82F13057290}"/>
    <hyperlink ref="B15" r:id="rId20" location="chambre" xr:uid="{074A7338-C2DC-4D58-9E27-2BD901C05F5E}"/>
    <hyperlink ref="B16" r:id="rId21" display="indépendant" xr:uid="{B955E459-201D-43DB-ADCC-77E9EC6A4FB5}"/>
    <hyperlink ref="C17" r:id="rId22" xr:uid="{DA2A1C8B-3F4E-4887-94C9-F04753F2CF66}"/>
  </hyperlinks>
  <pageMargins left="0.7" right="0.7" top="0.75" bottom="0.75" header="0.3" footer="0.3"/>
  <tableParts count="2">
    <tablePart r:id="rId23"/>
    <tablePart r:id="rId2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933EF40-1527-4083-9C18-DB2F6F8EF540}">
            <xm:f>NOT(ISERROR(SEARCH(Feuil3!$A$4,D1)))</xm:f>
            <xm:f>Feuil3!$A$4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2" operator="containsText" id="{5B297504-5906-4E96-81D8-2AF1D4962D7B}">
            <xm:f>NOT(ISERROR(SEARCH(Feuil3!$A$3,D1)))</xm:f>
            <xm:f>Feuil3!$A$3</xm:f>
            <x14:dxf>
              <fill>
                <patternFill>
                  <bgColor rgb="FFFFC000"/>
                </patternFill>
              </fill>
            </x14:dxf>
          </x14:cfRule>
          <x14:cfRule type="containsText" priority="3" operator="containsText" id="{C2B39B81-AFBD-40D3-88EE-7417CB15DDCA}">
            <xm:f>NOT(ISERROR(SEARCH(Feuil3!$A$2,D1)))</xm:f>
            <xm:f>Feuil3!$A$2</xm:f>
            <x14:dxf>
              <font>
                <color auto="1"/>
              </font>
              <fill>
                <patternFill>
                  <bgColor theme="9" tint="0.59996337778862885"/>
                </patternFill>
              </fill>
            </x14:dxf>
          </x14:cfRule>
          <xm:sqref>D1:D21 E12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AAEEC-DC8F-46B4-B967-A237F14841E0}">
  <sheetPr codeName="Feuil2"/>
  <dimension ref="A1:T187"/>
  <sheetViews>
    <sheetView workbookViewId="0">
      <selection activeCell="B29" sqref="B29"/>
    </sheetView>
  </sheetViews>
  <sheetFormatPr baseColWidth="10" defaultRowHeight="15" x14ac:dyDescent="0.25"/>
  <cols>
    <col min="1" max="1" width="22.140625" customWidth="1"/>
    <col min="2" max="2" width="14.140625" customWidth="1"/>
    <col min="3" max="3" width="35" customWidth="1"/>
    <col min="4" max="4" width="34" customWidth="1"/>
    <col min="5" max="5" width="28.140625" customWidth="1"/>
    <col min="6" max="7" width="11.42578125" style="4"/>
    <col min="8" max="8" width="9" style="4" customWidth="1"/>
    <col min="9" max="9" width="10.7109375" style="4" customWidth="1"/>
    <col min="10" max="10" width="15.7109375" style="1" customWidth="1"/>
    <col min="11" max="11" width="13.85546875" style="2" customWidth="1"/>
    <col min="12" max="12" width="20.7109375" style="1" customWidth="1"/>
    <col min="13" max="13" width="11.42578125" style="2"/>
    <col min="14" max="20" width="11.42578125" style="4"/>
  </cols>
  <sheetData>
    <row r="1" spans="1:13" x14ac:dyDescent="0.25">
      <c r="A1" t="s">
        <v>1</v>
      </c>
      <c r="B1" t="s">
        <v>4</v>
      </c>
      <c r="C1" t="s">
        <v>3</v>
      </c>
      <c r="D1" t="s">
        <v>2</v>
      </c>
      <c r="E1" t="s">
        <v>25</v>
      </c>
      <c r="J1" s="7">
        <f>Candidature!Q1</f>
        <v>0</v>
      </c>
      <c r="K1" s="2" t="s">
        <v>3</v>
      </c>
      <c r="L1" s="1" t="s">
        <v>4</v>
      </c>
      <c r="M1" s="2" t="s">
        <v>6</v>
      </c>
    </row>
    <row r="2" spans="1:13" x14ac:dyDescent="0.25">
      <c r="A2" t="str">
        <f>Candidature!C2</f>
        <v>Orange</v>
      </c>
      <c r="E2" s="12" t="s">
        <v>24</v>
      </c>
      <c r="J2" s="7">
        <f>Candidature!Q2</f>
        <v>0</v>
      </c>
      <c r="L2" s="1" t="s">
        <v>14</v>
      </c>
      <c r="M2" s="2" t="s">
        <v>15</v>
      </c>
    </row>
    <row r="3" spans="1:13" x14ac:dyDescent="0.25">
      <c r="A3" t="str">
        <f>Candidature!C3</f>
        <v>Orange</v>
      </c>
      <c r="J3" s="7">
        <f>Candidature!Q3</f>
        <v>0</v>
      </c>
    </row>
    <row r="4" spans="1:13" x14ac:dyDescent="0.25">
      <c r="A4" t="str">
        <f>Candidature!C4</f>
        <v>Orange</v>
      </c>
      <c r="J4" s="7">
        <f>Candidature!Q4</f>
        <v>0</v>
      </c>
    </row>
    <row r="5" spans="1:13" x14ac:dyDescent="0.25">
      <c r="A5" t="str">
        <f>Candidature!C5</f>
        <v>Orange</v>
      </c>
      <c r="J5" s="7">
        <f>Candidature!Q5</f>
        <v>0</v>
      </c>
    </row>
    <row r="6" spans="1:13" x14ac:dyDescent="0.25">
      <c r="A6" t="str">
        <f>Candidature!C6</f>
        <v>Safran</v>
      </c>
      <c r="B6" s="26" t="s">
        <v>95</v>
      </c>
      <c r="C6" s="18" t="str">
        <f>HYPERLINK("[https://www.google.com/search?q=](https://www.google.com/search?q=)"&amp;A1&amp;"+ numéro + de + téléphone","Rechercher"&amp;A1)</f>
        <v>RechercherNom d'entreprise</v>
      </c>
      <c r="J6" s="7">
        <f>Candidature!Q6</f>
        <v>0</v>
      </c>
    </row>
    <row r="7" spans="1:13" x14ac:dyDescent="0.25">
      <c r="A7" t="str">
        <f>Candidature!C7</f>
        <v>MBDA</v>
      </c>
      <c r="B7" s="24" t="s">
        <v>96</v>
      </c>
      <c r="C7" s="18" t="str">
        <f t="shared" ref="C7:C24" si="0">HYPERLINK("[https://www.google.com/search?q=](https://www.google.com/search?q=)"&amp;A2&amp;"+ numéro + de + téléphone","Rechercher"&amp;A2)</f>
        <v>RechercherOrange</v>
      </c>
      <c r="J7" s="7">
        <f>Candidature!Q7</f>
        <v>0</v>
      </c>
    </row>
    <row r="8" spans="1:13" x14ac:dyDescent="0.25">
      <c r="A8" t="str">
        <f>Candidature!C8</f>
        <v>SUEZ</v>
      </c>
      <c r="B8" s="24" t="s">
        <v>97</v>
      </c>
      <c r="C8" s="18" t="str">
        <f t="shared" si="0"/>
        <v>RechercherOrange</v>
      </c>
      <c r="J8" s="7"/>
    </row>
    <row r="9" spans="1:13" x14ac:dyDescent="0.25">
      <c r="A9" t="str">
        <f>Candidature!C9</f>
        <v>MBDA</v>
      </c>
      <c r="B9" s="24" t="s">
        <v>95</v>
      </c>
      <c r="C9" s="18" t="str">
        <f>HYPERLINK("[https://www.google.com/search?q=](https://www.google.com/search?q=)"&amp;A4&amp;"+ numéro + de + téléphone","Rechercher"&amp;A4)</f>
        <v>RechercherOrange</v>
      </c>
      <c r="J9" s="7"/>
    </row>
    <row r="10" spans="1:13" x14ac:dyDescent="0.25">
      <c r="A10" t="str">
        <f>Candidature!C10</f>
        <v>Socotec</v>
      </c>
      <c r="B10" s="24" t="s">
        <v>98</v>
      </c>
      <c r="C10" s="18" t="str">
        <f t="shared" si="0"/>
        <v>RechercherOrange</v>
      </c>
      <c r="J10" s="7"/>
    </row>
    <row r="11" spans="1:13" x14ac:dyDescent="0.25">
      <c r="A11" t="str">
        <f>Candidature!C11</f>
        <v>Dassault Systèmes</v>
      </c>
      <c r="B11" s="24" t="s">
        <v>99</v>
      </c>
      <c r="C11" s="18" t="str">
        <f t="shared" si="0"/>
        <v>RechercherSafran</v>
      </c>
      <c r="J11" s="7"/>
    </row>
    <row r="12" spans="1:13" x14ac:dyDescent="0.25">
      <c r="A12" t="str">
        <f>Candidature!C12</f>
        <v>EDF</v>
      </c>
      <c r="B12" s="24" t="s">
        <v>100</v>
      </c>
      <c r="C12" s="18" t="str">
        <f t="shared" si="0"/>
        <v>RechercherMBDA</v>
      </c>
      <c r="J12" s="7"/>
    </row>
    <row r="13" spans="1:13" x14ac:dyDescent="0.25">
      <c r="A13" t="str">
        <f>Candidature!C13</f>
        <v>Ariane Group</v>
      </c>
      <c r="B13" s="24" t="s">
        <v>101</v>
      </c>
      <c r="C13" s="18" t="str">
        <f t="shared" si="0"/>
        <v>RechercherSUEZ</v>
      </c>
      <c r="J13" s="7"/>
    </row>
    <row r="14" spans="1:13" x14ac:dyDescent="0.25">
      <c r="A14" t="str">
        <f>Candidature!C14</f>
        <v>RTE</v>
      </c>
      <c r="B14" s="24" t="s">
        <v>102</v>
      </c>
      <c r="C14" s="18" t="str">
        <f t="shared" si="0"/>
        <v>RechercherMBDA</v>
      </c>
      <c r="J14" s="7"/>
    </row>
    <row r="15" spans="1:13" x14ac:dyDescent="0.25">
      <c r="A15" t="str">
        <f>Candidature!C15</f>
        <v>Groupe SII</v>
      </c>
      <c r="B15" s="25" t="s">
        <v>103</v>
      </c>
      <c r="C15" s="18" t="str">
        <f t="shared" si="0"/>
        <v>RechercherSocotec</v>
      </c>
      <c r="J15" s="7"/>
    </row>
    <row r="16" spans="1:13" x14ac:dyDescent="0.25">
      <c r="A16" t="str">
        <f>Candidature!C16</f>
        <v>Evidensee</v>
      </c>
      <c r="B16" s="24" t="s">
        <v>22</v>
      </c>
      <c r="C16" s="18" t="str">
        <f t="shared" si="0"/>
        <v>RechercherDassault Systèmes</v>
      </c>
      <c r="J16" s="7"/>
    </row>
    <row r="17" spans="1:10" x14ac:dyDescent="0.25">
      <c r="A17" t="str">
        <f>Candidature!C17</f>
        <v>OTC FLOW FRANCE</v>
      </c>
      <c r="B17" s="24" t="s">
        <v>104</v>
      </c>
      <c r="C17" s="18" t="str">
        <f t="shared" si="0"/>
        <v>RechercherEDF</v>
      </c>
      <c r="J17" s="7"/>
    </row>
    <row r="18" spans="1:10" x14ac:dyDescent="0.25">
      <c r="A18" t="str">
        <f>Candidature!C18</f>
        <v>Spie</v>
      </c>
      <c r="B18" s="24" t="s">
        <v>105</v>
      </c>
      <c r="C18" s="18" t="str">
        <f t="shared" si="0"/>
        <v>RechercherAriane Group</v>
      </c>
      <c r="J18" s="7"/>
    </row>
    <row r="19" spans="1:10" x14ac:dyDescent="0.25">
      <c r="A19" t="str">
        <f>Candidature!C19</f>
        <v>Bureau Veritas</v>
      </c>
      <c r="B19" s="24" t="s">
        <v>106</v>
      </c>
      <c r="C19" s="18" t="str">
        <f t="shared" si="0"/>
        <v>RechercherRTE</v>
      </c>
      <c r="J19" s="7"/>
    </row>
    <row r="20" spans="1:10" x14ac:dyDescent="0.25">
      <c r="A20" t="str">
        <f>Candidature!C20</f>
        <v>Groupe SETEC</v>
      </c>
      <c r="B20" s="24" t="s">
        <v>107</v>
      </c>
      <c r="C20" s="18" t="str">
        <f t="shared" si="0"/>
        <v>RechercherGroupe SII</v>
      </c>
      <c r="J20" s="7"/>
    </row>
    <row r="21" spans="1:10" x14ac:dyDescent="0.25">
      <c r="A21" t="str">
        <f>Candidature!C21</f>
        <v>ROUX Informatique</v>
      </c>
      <c r="B21" s="24" t="s">
        <v>108</v>
      </c>
      <c r="C21" s="18" t="str">
        <f t="shared" si="0"/>
        <v>RechercherEvidensee</v>
      </c>
    </row>
    <row r="22" spans="1:10" x14ac:dyDescent="0.25">
      <c r="A22">
        <f>Candidature!C26</f>
        <v>0</v>
      </c>
      <c r="B22" t="s">
        <v>108</v>
      </c>
      <c r="C22" s="18" t="str">
        <f t="shared" si="0"/>
        <v>RechercherOTC FLOW FRANCE</v>
      </c>
    </row>
    <row r="23" spans="1:10" x14ac:dyDescent="0.25">
      <c r="A23">
        <f>Candidature!C27</f>
        <v>0</v>
      </c>
      <c r="C23" s="18" t="str">
        <f t="shared" si="0"/>
        <v>RechercherSpie</v>
      </c>
      <c r="D23" s="21"/>
    </row>
    <row r="24" spans="1:10" x14ac:dyDescent="0.25">
      <c r="A24">
        <f>Candidature!C28</f>
        <v>0</v>
      </c>
      <c r="C24" s="18" t="str">
        <f t="shared" si="0"/>
        <v>RechercherBureau Veritas</v>
      </c>
      <c r="D24" s="21"/>
    </row>
    <row r="25" spans="1:10" x14ac:dyDescent="0.25">
      <c r="A25">
        <f>Candidature!C29</f>
        <v>0</v>
      </c>
    </row>
    <row r="26" spans="1:10" x14ac:dyDescent="0.25">
      <c r="A26">
        <f>Candidature!C30</f>
        <v>0</v>
      </c>
    </row>
    <row r="27" spans="1:10" x14ac:dyDescent="0.25">
      <c r="A27">
        <f>Candidature!C31</f>
        <v>0</v>
      </c>
    </row>
    <row r="28" spans="1:10" x14ac:dyDescent="0.25">
      <c r="A28">
        <f>Candidature!C32</f>
        <v>0</v>
      </c>
      <c r="D28" s="21"/>
    </row>
    <row r="29" spans="1:10" x14ac:dyDescent="0.25">
      <c r="A29">
        <f>Candidature!C33</f>
        <v>0</v>
      </c>
      <c r="B29" t="s">
        <v>105</v>
      </c>
      <c r="D29" s="21"/>
    </row>
    <row r="30" spans="1:10" x14ac:dyDescent="0.25">
      <c r="A30">
        <f>Candidature!C34</f>
        <v>0</v>
      </c>
    </row>
    <row r="31" spans="1:10" x14ac:dyDescent="0.25">
      <c r="A31">
        <f>Candidature!C35</f>
        <v>0</v>
      </c>
    </row>
    <row r="32" spans="1:10" x14ac:dyDescent="0.25">
      <c r="A32">
        <f>Candidature!C36</f>
        <v>0</v>
      </c>
      <c r="B32" s="12"/>
    </row>
    <row r="33" spans="1:3" x14ac:dyDescent="0.25">
      <c r="A33">
        <f>Candidature!C37</f>
        <v>0</v>
      </c>
    </row>
    <row r="34" spans="1:3" x14ac:dyDescent="0.25">
      <c r="A34">
        <f>Candidature!C38</f>
        <v>0</v>
      </c>
    </row>
    <row r="35" spans="1:3" x14ac:dyDescent="0.25">
      <c r="A35">
        <f>Candidature!C39</f>
        <v>0</v>
      </c>
    </row>
    <row r="36" spans="1:3" x14ac:dyDescent="0.25">
      <c r="A36">
        <f>Candidature!C40</f>
        <v>0</v>
      </c>
      <c r="C36" t="s">
        <v>33</v>
      </c>
    </row>
    <row r="37" spans="1:3" x14ac:dyDescent="0.25">
      <c r="A37">
        <f>Candidature!C41</f>
        <v>0</v>
      </c>
    </row>
    <row r="38" spans="1:3" x14ac:dyDescent="0.25">
      <c r="A38">
        <f>Candidature!C42</f>
        <v>0</v>
      </c>
    </row>
    <row r="39" spans="1:3" x14ac:dyDescent="0.25">
      <c r="A39">
        <f>Candidature!C43</f>
        <v>0</v>
      </c>
    </row>
    <row r="40" spans="1:3" x14ac:dyDescent="0.25">
      <c r="A40">
        <f>Candidature!C44</f>
        <v>0</v>
      </c>
    </row>
    <row r="41" spans="1:3" x14ac:dyDescent="0.25">
      <c r="A41">
        <f>Candidature!C45</f>
        <v>0</v>
      </c>
    </row>
    <row r="42" spans="1:3" x14ac:dyDescent="0.25">
      <c r="A42">
        <f>Candidature!C46</f>
        <v>0</v>
      </c>
    </row>
    <row r="43" spans="1:3" x14ac:dyDescent="0.25">
      <c r="A43">
        <f>Candidature!C47</f>
        <v>0</v>
      </c>
    </row>
    <row r="44" spans="1:3" x14ac:dyDescent="0.25">
      <c r="A44">
        <f>Candidature!C48</f>
        <v>0</v>
      </c>
      <c r="B44" s="18" t="s">
        <v>37</v>
      </c>
    </row>
    <row r="45" spans="1:3" x14ac:dyDescent="0.25">
      <c r="A45">
        <f>Candidature!C49</f>
        <v>0</v>
      </c>
    </row>
    <row r="46" spans="1:3" x14ac:dyDescent="0.25">
      <c r="A46">
        <f>Candidature!C50</f>
        <v>0</v>
      </c>
    </row>
    <row r="47" spans="1:3" x14ac:dyDescent="0.25">
      <c r="A47">
        <f>Candidature!C51</f>
        <v>0</v>
      </c>
    </row>
    <row r="48" spans="1:3" x14ac:dyDescent="0.25">
      <c r="A48">
        <f>Candidature!C52</f>
        <v>0</v>
      </c>
      <c r="B48" s="18" t="s">
        <v>38</v>
      </c>
    </row>
    <row r="49" spans="1:3" x14ac:dyDescent="0.25">
      <c r="A49">
        <f>Candidature!C53</f>
        <v>0</v>
      </c>
    </row>
    <row r="50" spans="1:3" x14ac:dyDescent="0.25">
      <c r="A50">
        <f>Candidature!C54</f>
        <v>0</v>
      </c>
    </row>
    <row r="51" spans="1:3" x14ac:dyDescent="0.25">
      <c r="A51">
        <f>Candidature!C55</f>
        <v>0</v>
      </c>
    </row>
    <row r="52" spans="1:3" x14ac:dyDescent="0.25">
      <c r="A52">
        <f>Candidature!C56</f>
        <v>0</v>
      </c>
    </row>
    <row r="53" spans="1:3" x14ac:dyDescent="0.25">
      <c r="A53">
        <f>Candidature!C57</f>
        <v>0</v>
      </c>
    </row>
    <row r="54" spans="1:3" x14ac:dyDescent="0.25">
      <c r="A54">
        <f>Candidature!C58</f>
        <v>0</v>
      </c>
    </row>
    <row r="55" spans="1:3" x14ac:dyDescent="0.25">
      <c r="A55">
        <f>Candidature!C59</f>
        <v>0</v>
      </c>
    </row>
    <row r="56" spans="1:3" x14ac:dyDescent="0.25">
      <c r="A56">
        <f>Candidature!C60</f>
        <v>0</v>
      </c>
      <c r="B56" s="12" t="s">
        <v>41</v>
      </c>
      <c r="C56" t="s">
        <v>39</v>
      </c>
    </row>
    <row r="57" spans="1:3" x14ac:dyDescent="0.25">
      <c r="A57">
        <f>Candidature!C61</f>
        <v>0</v>
      </c>
    </row>
    <row r="58" spans="1:3" x14ac:dyDescent="0.25">
      <c r="A58">
        <f>Candidature!C62</f>
        <v>0</v>
      </c>
      <c r="C58" t="s">
        <v>40</v>
      </c>
    </row>
    <row r="59" spans="1:3" x14ac:dyDescent="0.25">
      <c r="A59">
        <f>Candidature!C63</f>
        <v>0</v>
      </c>
    </row>
    <row r="60" spans="1:3" x14ac:dyDescent="0.25">
      <c r="A60">
        <f>Candidature!C64</f>
        <v>0</v>
      </c>
    </row>
    <row r="61" spans="1:3" x14ac:dyDescent="0.25">
      <c r="A61">
        <f>Candidature!C65</f>
        <v>0</v>
      </c>
    </row>
    <row r="62" spans="1:3" x14ac:dyDescent="0.25">
      <c r="A62">
        <f>Candidature!C66</f>
        <v>0</v>
      </c>
    </row>
    <row r="63" spans="1:3" x14ac:dyDescent="0.25">
      <c r="A63">
        <f>Candidature!C67</f>
        <v>0</v>
      </c>
    </row>
    <row r="64" spans="1:3" x14ac:dyDescent="0.25">
      <c r="A64">
        <f>Candidature!C68</f>
        <v>0</v>
      </c>
    </row>
    <row r="65" spans="1:3" x14ac:dyDescent="0.25">
      <c r="A65">
        <f>Candidature!C69</f>
        <v>0</v>
      </c>
    </row>
    <row r="66" spans="1:3" x14ac:dyDescent="0.25">
      <c r="A66">
        <f>Candidature!C70</f>
        <v>0</v>
      </c>
    </row>
    <row r="67" spans="1:3" x14ac:dyDescent="0.25">
      <c r="A67">
        <f>Candidature!C71</f>
        <v>0</v>
      </c>
    </row>
    <row r="68" spans="1:3" x14ac:dyDescent="0.25">
      <c r="A68">
        <f>Candidature!C72</f>
        <v>0</v>
      </c>
      <c r="B68" s="12" t="s">
        <v>42</v>
      </c>
      <c r="C68" t="s">
        <v>43</v>
      </c>
    </row>
    <row r="69" spans="1:3" x14ac:dyDescent="0.25">
      <c r="A69">
        <f>Candidature!C73</f>
        <v>0</v>
      </c>
    </row>
    <row r="70" spans="1:3" x14ac:dyDescent="0.25">
      <c r="A70">
        <f>Candidature!C74</f>
        <v>0</v>
      </c>
    </row>
    <row r="71" spans="1:3" x14ac:dyDescent="0.25">
      <c r="A71">
        <f>Candidature!C75</f>
        <v>0</v>
      </c>
    </row>
    <row r="72" spans="1:3" x14ac:dyDescent="0.25">
      <c r="A72">
        <f>Candidature!C76</f>
        <v>0</v>
      </c>
    </row>
    <row r="73" spans="1:3" x14ac:dyDescent="0.25">
      <c r="A73">
        <f>Candidature!C77</f>
        <v>0</v>
      </c>
    </row>
    <row r="74" spans="1:3" x14ac:dyDescent="0.25">
      <c r="A74">
        <f>Candidature!C78</f>
        <v>0</v>
      </c>
    </row>
    <row r="75" spans="1:3" x14ac:dyDescent="0.25">
      <c r="A75">
        <f>Candidature!C79</f>
        <v>0</v>
      </c>
    </row>
    <row r="76" spans="1:3" x14ac:dyDescent="0.25">
      <c r="A76">
        <f>Candidature!C80</f>
        <v>0</v>
      </c>
    </row>
    <row r="77" spans="1:3" x14ac:dyDescent="0.25">
      <c r="A77">
        <f>Candidature!C81</f>
        <v>0</v>
      </c>
    </row>
    <row r="78" spans="1:3" x14ac:dyDescent="0.25">
      <c r="A78">
        <f>Candidature!C82</f>
        <v>0</v>
      </c>
    </row>
    <row r="79" spans="1:3" x14ac:dyDescent="0.25">
      <c r="A79">
        <f>Candidature!C83</f>
        <v>0</v>
      </c>
    </row>
    <row r="80" spans="1:3" x14ac:dyDescent="0.25">
      <c r="A80">
        <f>Candidature!C84</f>
        <v>0</v>
      </c>
    </row>
    <row r="81" spans="1:1" x14ac:dyDescent="0.25">
      <c r="A81">
        <f>Candidature!C85</f>
        <v>0</v>
      </c>
    </row>
    <row r="82" spans="1:1" x14ac:dyDescent="0.25">
      <c r="A82">
        <f>Candidature!C86</f>
        <v>0</v>
      </c>
    </row>
    <row r="83" spans="1:1" x14ac:dyDescent="0.25">
      <c r="A83">
        <f>Candidature!C87</f>
        <v>0</v>
      </c>
    </row>
    <row r="84" spans="1:1" x14ac:dyDescent="0.25">
      <c r="A84">
        <f>Candidature!C88</f>
        <v>0</v>
      </c>
    </row>
    <row r="85" spans="1:1" x14ac:dyDescent="0.25">
      <c r="A85">
        <f>Candidature!C89</f>
        <v>0</v>
      </c>
    </row>
    <row r="86" spans="1:1" x14ac:dyDescent="0.25">
      <c r="A86">
        <f>Candidature!C90</f>
        <v>0</v>
      </c>
    </row>
    <row r="87" spans="1:1" x14ac:dyDescent="0.25">
      <c r="A87">
        <f>Candidature!C91</f>
        <v>0</v>
      </c>
    </row>
    <row r="88" spans="1:1" x14ac:dyDescent="0.25">
      <c r="A88">
        <f>Candidature!C92</f>
        <v>0</v>
      </c>
    </row>
    <row r="89" spans="1:1" x14ac:dyDescent="0.25">
      <c r="A89">
        <f>Candidature!C93</f>
        <v>0</v>
      </c>
    </row>
    <row r="90" spans="1:1" x14ac:dyDescent="0.25">
      <c r="A90">
        <f>Candidature!C94</f>
        <v>0</v>
      </c>
    </row>
    <row r="91" spans="1:1" x14ac:dyDescent="0.25">
      <c r="A91">
        <f>Candidature!C95</f>
        <v>0</v>
      </c>
    </row>
    <row r="92" spans="1:1" x14ac:dyDescent="0.25">
      <c r="A92">
        <f>Candidature!C96</f>
        <v>0</v>
      </c>
    </row>
    <row r="93" spans="1:1" x14ac:dyDescent="0.25">
      <c r="A93">
        <f>Candidature!C97</f>
        <v>0</v>
      </c>
    </row>
    <row r="94" spans="1:1" x14ac:dyDescent="0.25">
      <c r="A94">
        <f>Candidature!C98</f>
        <v>0</v>
      </c>
    </row>
    <row r="95" spans="1:1" x14ac:dyDescent="0.25">
      <c r="A95">
        <f>Candidature!C99</f>
        <v>0</v>
      </c>
    </row>
    <row r="96" spans="1:1" x14ac:dyDescent="0.25">
      <c r="A96">
        <f>Candidature!C100</f>
        <v>0</v>
      </c>
    </row>
    <row r="97" spans="1:3" x14ac:dyDescent="0.25">
      <c r="A97">
        <f>Candidature!C101</f>
        <v>0</v>
      </c>
    </row>
    <row r="98" spans="1:3" x14ac:dyDescent="0.25">
      <c r="A98">
        <f>Candidature!C102</f>
        <v>0</v>
      </c>
      <c r="B98" s="12" t="s">
        <v>46</v>
      </c>
    </row>
    <row r="99" spans="1:3" x14ac:dyDescent="0.25">
      <c r="A99">
        <f>Candidature!C103</f>
        <v>0</v>
      </c>
    </row>
    <row r="100" spans="1:3" x14ac:dyDescent="0.25">
      <c r="A100">
        <f>Candidature!C104</f>
        <v>0</v>
      </c>
    </row>
    <row r="101" spans="1:3" x14ac:dyDescent="0.25">
      <c r="A101">
        <f>Candidature!C105</f>
        <v>0</v>
      </c>
    </row>
    <row r="102" spans="1:3" x14ac:dyDescent="0.25">
      <c r="A102">
        <f>Candidature!C106</f>
        <v>0</v>
      </c>
    </row>
    <row r="103" spans="1:3" x14ac:dyDescent="0.25">
      <c r="A103">
        <f>Candidature!C107</f>
        <v>0</v>
      </c>
      <c r="B103" s="12" t="s">
        <v>47</v>
      </c>
    </row>
    <row r="104" spans="1:3" x14ac:dyDescent="0.25">
      <c r="A104">
        <f>Candidature!C108</f>
        <v>0</v>
      </c>
    </row>
    <row r="105" spans="1:3" x14ac:dyDescent="0.25">
      <c r="A105">
        <f>Candidature!C109</f>
        <v>0</v>
      </c>
    </row>
    <row r="106" spans="1:3" x14ac:dyDescent="0.25">
      <c r="A106">
        <f>Candidature!C110</f>
        <v>0</v>
      </c>
    </row>
    <row r="107" spans="1:3" x14ac:dyDescent="0.25">
      <c r="A107">
        <f>Candidature!C111</f>
        <v>0</v>
      </c>
    </row>
    <row r="108" spans="1:3" x14ac:dyDescent="0.25">
      <c r="A108">
        <f>Candidature!C112</f>
        <v>0</v>
      </c>
    </row>
    <row r="109" spans="1:3" x14ac:dyDescent="0.25">
      <c r="A109">
        <f>Candidature!C113</f>
        <v>0</v>
      </c>
      <c r="C109" t="s">
        <v>48</v>
      </c>
    </row>
    <row r="110" spans="1:3" x14ac:dyDescent="0.25">
      <c r="A110">
        <f>Candidature!C114</f>
        <v>0</v>
      </c>
    </row>
    <row r="111" spans="1:3" x14ac:dyDescent="0.25">
      <c r="A111">
        <f>Candidature!C115</f>
        <v>0</v>
      </c>
    </row>
    <row r="112" spans="1:3" x14ac:dyDescent="0.25">
      <c r="A112">
        <f>Candidature!C116</f>
        <v>0</v>
      </c>
      <c r="C112" t="s">
        <v>50</v>
      </c>
    </row>
    <row r="113" spans="1:2" x14ac:dyDescent="0.25">
      <c r="A113">
        <f>Candidature!C117</f>
        <v>0</v>
      </c>
    </row>
    <row r="114" spans="1:2" x14ac:dyDescent="0.25">
      <c r="A114">
        <f>Candidature!C118</f>
        <v>0</v>
      </c>
    </row>
    <row r="115" spans="1:2" x14ac:dyDescent="0.25">
      <c r="A115">
        <f>Candidature!C119</f>
        <v>0</v>
      </c>
    </row>
    <row r="116" spans="1:2" x14ac:dyDescent="0.25">
      <c r="A116">
        <f>Candidature!C120</f>
        <v>0</v>
      </c>
    </row>
    <row r="117" spans="1:2" x14ac:dyDescent="0.25">
      <c r="A117">
        <f>Candidature!C121</f>
        <v>0</v>
      </c>
    </row>
    <row r="118" spans="1:2" x14ac:dyDescent="0.25">
      <c r="A118">
        <f>Candidature!C122</f>
        <v>0</v>
      </c>
    </row>
    <row r="119" spans="1:2" x14ac:dyDescent="0.25">
      <c r="A119">
        <f>Candidature!C123</f>
        <v>0</v>
      </c>
      <c r="B119" s="18" t="s">
        <v>51</v>
      </c>
    </row>
    <row r="120" spans="1:2" x14ac:dyDescent="0.25">
      <c r="A120">
        <f>Candidature!C124</f>
        <v>0</v>
      </c>
    </row>
    <row r="121" spans="1:2" x14ac:dyDescent="0.25">
      <c r="A121">
        <f>Candidature!C125</f>
        <v>0</v>
      </c>
    </row>
    <row r="122" spans="1:2" x14ac:dyDescent="0.25">
      <c r="A122">
        <f>Candidature!C126</f>
        <v>0</v>
      </c>
    </row>
    <row r="123" spans="1:2" x14ac:dyDescent="0.25">
      <c r="A123">
        <f>Candidature!C127</f>
        <v>0</v>
      </c>
    </row>
    <row r="124" spans="1:2" x14ac:dyDescent="0.25">
      <c r="A124">
        <f>Candidature!C128</f>
        <v>0</v>
      </c>
    </row>
    <row r="125" spans="1:2" x14ac:dyDescent="0.25">
      <c r="A125">
        <f>Candidature!C129</f>
        <v>0</v>
      </c>
    </row>
    <row r="126" spans="1:2" x14ac:dyDescent="0.25">
      <c r="A126">
        <f>Candidature!C130</f>
        <v>0</v>
      </c>
    </row>
    <row r="127" spans="1:2" x14ac:dyDescent="0.25">
      <c r="A127">
        <f>Candidature!C131</f>
        <v>0</v>
      </c>
    </row>
    <row r="128" spans="1:2" x14ac:dyDescent="0.25">
      <c r="A128">
        <f>Candidature!C132</f>
        <v>0</v>
      </c>
    </row>
    <row r="129" spans="1:2" x14ac:dyDescent="0.25">
      <c r="A129">
        <f>Candidature!C133</f>
        <v>0</v>
      </c>
    </row>
    <row r="130" spans="1:2" x14ac:dyDescent="0.25">
      <c r="A130">
        <f>Candidature!C134</f>
        <v>0</v>
      </c>
    </row>
    <row r="131" spans="1:2" x14ac:dyDescent="0.25">
      <c r="A131">
        <f>Candidature!C135</f>
        <v>0</v>
      </c>
    </row>
    <row r="132" spans="1:2" x14ac:dyDescent="0.25">
      <c r="A132">
        <f>Candidature!C136</f>
        <v>0</v>
      </c>
    </row>
    <row r="133" spans="1:2" x14ac:dyDescent="0.25">
      <c r="A133">
        <f>Candidature!C137</f>
        <v>0</v>
      </c>
    </row>
    <row r="134" spans="1:2" x14ac:dyDescent="0.25">
      <c r="A134">
        <f>Candidature!C138</f>
        <v>0</v>
      </c>
    </row>
    <row r="135" spans="1:2" x14ac:dyDescent="0.25">
      <c r="A135">
        <f>Candidature!C139</f>
        <v>0</v>
      </c>
    </row>
    <row r="136" spans="1:2" x14ac:dyDescent="0.25">
      <c r="A136">
        <f>Candidature!C140</f>
        <v>0</v>
      </c>
    </row>
    <row r="137" spans="1:2" x14ac:dyDescent="0.25">
      <c r="A137">
        <f>Candidature!C141</f>
        <v>0</v>
      </c>
    </row>
    <row r="138" spans="1:2" x14ac:dyDescent="0.25">
      <c r="A138">
        <f>Candidature!C142</f>
        <v>0</v>
      </c>
    </row>
    <row r="139" spans="1:2" x14ac:dyDescent="0.25">
      <c r="A139">
        <f>Candidature!C143</f>
        <v>0</v>
      </c>
      <c r="B139" s="18" t="s">
        <v>52</v>
      </c>
    </row>
    <row r="140" spans="1:2" x14ac:dyDescent="0.25">
      <c r="A140">
        <f>Candidature!C144</f>
        <v>0</v>
      </c>
    </row>
    <row r="141" spans="1:2" x14ac:dyDescent="0.25">
      <c r="A141">
        <f>Candidature!C145</f>
        <v>0</v>
      </c>
    </row>
    <row r="142" spans="1:2" x14ac:dyDescent="0.25">
      <c r="A142">
        <f>Candidature!C146</f>
        <v>0</v>
      </c>
    </row>
    <row r="143" spans="1:2" x14ac:dyDescent="0.25">
      <c r="A143">
        <f>Candidature!C147</f>
        <v>0</v>
      </c>
    </row>
    <row r="144" spans="1:2" x14ac:dyDescent="0.25">
      <c r="A144">
        <f>Candidature!C148</f>
        <v>0</v>
      </c>
    </row>
    <row r="145" spans="1:1" x14ac:dyDescent="0.25">
      <c r="A145">
        <f>Candidature!C149</f>
        <v>0</v>
      </c>
    </row>
    <row r="146" spans="1:1" x14ac:dyDescent="0.25">
      <c r="A146">
        <f>Candidature!C150</f>
        <v>0</v>
      </c>
    </row>
    <row r="147" spans="1:1" x14ac:dyDescent="0.25">
      <c r="A147">
        <f>Candidature!C151</f>
        <v>0</v>
      </c>
    </row>
    <row r="148" spans="1:1" x14ac:dyDescent="0.25">
      <c r="A148">
        <f>Candidature!C152</f>
        <v>0</v>
      </c>
    </row>
    <row r="149" spans="1:1" x14ac:dyDescent="0.25">
      <c r="A149">
        <f>Candidature!C153</f>
        <v>0</v>
      </c>
    </row>
    <row r="150" spans="1:1" x14ac:dyDescent="0.25">
      <c r="A150">
        <f>Candidature!C154</f>
        <v>0</v>
      </c>
    </row>
    <row r="151" spans="1:1" x14ac:dyDescent="0.25">
      <c r="A151">
        <f>Candidature!C155</f>
        <v>0</v>
      </c>
    </row>
    <row r="152" spans="1:1" x14ac:dyDescent="0.25">
      <c r="A152">
        <f>Candidature!C156</f>
        <v>0</v>
      </c>
    </row>
    <row r="153" spans="1:1" x14ac:dyDescent="0.25">
      <c r="A153">
        <f>Candidature!C157</f>
        <v>0</v>
      </c>
    </row>
    <row r="154" spans="1:1" x14ac:dyDescent="0.25">
      <c r="A154">
        <f>Candidature!C158</f>
        <v>0</v>
      </c>
    </row>
    <row r="155" spans="1:1" x14ac:dyDescent="0.25">
      <c r="A155">
        <f>Candidature!C159</f>
        <v>0</v>
      </c>
    </row>
    <row r="156" spans="1:1" x14ac:dyDescent="0.25">
      <c r="A156">
        <f>Candidature!C160</f>
        <v>0</v>
      </c>
    </row>
    <row r="157" spans="1:1" x14ac:dyDescent="0.25">
      <c r="A157">
        <f>Candidature!C161</f>
        <v>0</v>
      </c>
    </row>
    <row r="158" spans="1:1" x14ac:dyDescent="0.25">
      <c r="A158">
        <f>Candidature!C162</f>
        <v>0</v>
      </c>
    </row>
    <row r="159" spans="1:1" x14ac:dyDescent="0.25">
      <c r="A159">
        <f>Candidature!C163</f>
        <v>0</v>
      </c>
    </row>
    <row r="160" spans="1:1" x14ac:dyDescent="0.25">
      <c r="A160">
        <f>Candidature!C164</f>
        <v>0</v>
      </c>
    </row>
    <row r="161" spans="1:2" x14ac:dyDescent="0.25">
      <c r="A161">
        <f>Candidature!C165</f>
        <v>0</v>
      </c>
    </row>
    <row r="162" spans="1:2" x14ac:dyDescent="0.25">
      <c r="A162">
        <f>Candidature!C166</f>
        <v>0</v>
      </c>
    </row>
    <row r="163" spans="1:2" x14ac:dyDescent="0.25">
      <c r="A163">
        <f>Candidature!C167</f>
        <v>0</v>
      </c>
    </row>
    <row r="164" spans="1:2" x14ac:dyDescent="0.25">
      <c r="A164">
        <f>Candidature!C168</f>
        <v>0</v>
      </c>
    </row>
    <row r="165" spans="1:2" x14ac:dyDescent="0.25">
      <c r="A165">
        <f>Candidature!C169</f>
        <v>0</v>
      </c>
    </row>
    <row r="166" spans="1:2" x14ac:dyDescent="0.25">
      <c r="A166">
        <f>Candidature!C170</f>
        <v>0</v>
      </c>
    </row>
    <row r="167" spans="1:2" x14ac:dyDescent="0.25">
      <c r="A167">
        <f>Candidature!C171</f>
        <v>0</v>
      </c>
    </row>
    <row r="168" spans="1:2" x14ac:dyDescent="0.25">
      <c r="A168">
        <f>Candidature!C172</f>
        <v>0</v>
      </c>
    </row>
    <row r="169" spans="1:2" x14ac:dyDescent="0.25">
      <c r="A169">
        <f>Candidature!C173</f>
        <v>0</v>
      </c>
    </row>
    <row r="170" spans="1:2" x14ac:dyDescent="0.25">
      <c r="A170">
        <f>Candidature!C174</f>
        <v>0</v>
      </c>
    </row>
    <row r="171" spans="1:2" x14ac:dyDescent="0.25">
      <c r="A171">
        <f>Candidature!C175</f>
        <v>0</v>
      </c>
    </row>
    <row r="172" spans="1:2" x14ac:dyDescent="0.25">
      <c r="A172">
        <f>Candidature!C176</f>
        <v>0</v>
      </c>
    </row>
    <row r="173" spans="1:2" x14ac:dyDescent="0.25">
      <c r="A173">
        <f>Candidature!C177</f>
        <v>0</v>
      </c>
    </row>
    <row r="174" spans="1:2" x14ac:dyDescent="0.25">
      <c r="A174">
        <f>Candidature!C178</f>
        <v>0</v>
      </c>
    </row>
    <row r="175" spans="1:2" x14ac:dyDescent="0.25">
      <c r="A175">
        <f>Candidature!C179</f>
        <v>0</v>
      </c>
    </row>
    <row r="176" spans="1:2" x14ac:dyDescent="0.25">
      <c r="A176">
        <f>Candidature!C180</f>
        <v>0</v>
      </c>
      <c r="B176" s="18" t="s">
        <v>58</v>
      </c>
    </row>
    <row r="177" spans="1:1" x14ac:dyDescent="0.25">
      <c r="A177">
        <f>Candidature!C181</f>
        <v>0</v>
      </c>
    </row>
    <row r="178" spans="1:1" x14ac:dyDescent="0.25">
      <c r="A178">
        <f>Candidature!C188</f>
        <v>0</v>
      </c>
    </row>
    <row r="179" spans="1:1" x14ac:dyDescent="0.25">
      <c r="A179">
        <f>Candidature!C189</f>
        <v>0</v>
      </c>
    </row>
    <row r="180" spans="1:1" x14ac:dyDescent="0.25">
      <c r="A180">
        <f>Candidature!C190</f>
        <v>0</v>
      </c>
    </row>
    <row r="181" spans="1:1" x14ac:dyDescent="0.25">
      <c r="A181">
        <f>Candidature!C191</f>
        <v>0</v>
      </c>
    </row>
    <row r="182" spans="1:1" x14ac:dyDescent="0.25">
      <c r="A182">
        <f>Candidature!C192</f>
        <v>0</v>
      </c>
    </row>
    <row r="183" spans="1:1" x14ac:dyDescent="0.25">
      <c r="A183">
        <f>Candidature!C193</f>
        <v>0</v>
      </c>
    </row>
    <row r="184" spans="1:1" x14ac:dyDescent="0.25">
      <c r="A184">
        <f>Candidature!C194</f>
        <v>0</v>
      </c>
    </row>
    <row r="185" spans="1:1" x14ac:dyDescent="0.25">
      <c r="A185">
        <f>Candidature!C195</f>
        <v>0</v>
      </c>
    </row>
    <row r="186" spans="1:1" x14ac:dyDescent="0.25">
      <c r="A186">
        <f>Candidature!C196</f>
        <v>0</v>
      </c>
    </row>
    <row r="187" spans="1:1" x14ac:dyDescent="0.25">
      <c r="A187">
        <f>Candidature!C197</f>
        <v>0</v>
      </c>
    </row>
  </sheetData>
  <hyperlinks>
    <hyperlink ref="E2" r:id="rId1" xr:uid="{D5892493-4834-4EB3-8516-5D8B2A1288DD}"/>
    <hyperlink ref="B44" r:id="rId2" xr:uid="{33BFD80A-A8DE-451A-AF5D-E94B202E1B26}"/>
    <hyperlink ref="B48" r:id="rId3" xr:uid="{B91542A1-3D20-4DF0-8DB5-30E46B177D9C}"/>
    <hyperlink ref="B56" r:id="rId4" display="vincent.totey@anaya-france.eu / " xr:uid="{2866B7E9-C56B-4541-A44B-15D79232B6EE}"/>
    <hyperlink ref="B68" r:id="rId5" xr:uid="{C25F6342-1BC6-43B3-AA7B-F21D7087CC61}"/>
    <hyperlink ref="B98" r:id="rId6" xr:uid="{06130FC3-0CEF-4F16-9A54-FFC6225E7A80}"/>
    <hyperlink ref="B103" r:id="rId7" xr:uid="{FCDFE7AD-751E-4EC0-ADC6-9DCCDC11396B}"/>
    <hyperlink ref="B119" r:id="rId8" display="mailto:hr.fr@tp-link.com" xr:uid="{FC447202-45A4-4A37-8736-EC0E164BD679}"/>
    <hyperlink ref="B139" r:id="rId9" display="mailto:contact@auranext.com" xr:uid="{9632C508-D24F-4FED-B1F2-35F4F0BF0C10}"/>
    <hyperlink ref="B176" r:id="rId10" display="mailto:recrutements@vist-and.com" xr:uid="{914ED288-09DD-4080-9282-BA98AE5D801F}"/>
    <hyperlink ref="B6" r:id="rId11" xr:uid="{0F3A5454-550B-4AE5-910E-EE9EF8293673}"/>
  </hyperlinks>
  <pageMargins left="0.7" right="0.7" top="0.75" bottom="0.75" header="0.3" footer="0.3"/>
  <tableParts count="1">
    <tablePart r:id="rId1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08FC-C77D-4325-AA8B-2DB58BF29737}">
  <sheetPr codeName="Feuil3"/>
  <dimension ref="A1:B14"/>
  <sheetViews>
    <sheetView workbookViewId="0">
      <selection activeCell="B16" sqref="B16"/>
    </sheetView>
  </sheetViews>
  <sheetFormatPr baseColWidth="10" defaultRowHeight="15" x14ac:dyDescent="0.25"/>
  <cols>
    <col min="1" max="1" width="19" customWidth="1"/>
    <col min="2" max="2" width="24.5703125" customWidth="1"/>
  </cols>
  <sheetData>
    <row r="1" spans="1:2" x14ac:dyDescent="0.25">
      <c r="A1" t="s">
        <v>16</v>
      </c>
      <c r="B1" t="s">
        <v>11</v>
      </c>
    </row>
    <row r="2" spans="1:2" x14ac:dyDescent="0.25">
      <c r="A2" s="5" t="s">
        <v>12</v>
      </c>
      <c r="B2" t="s">
        <v>17</v>
      </c>
    </row>
    <row r="3" spans="1:2" x14ac:dyDescent="0.25">
      <c r="A3" s="3" t="s">
        <v>8</v>
      </c>
      <c r="B3" t="s">
        <v>18</v>
      </c>
    </row>
    <row r="4" spans="1:2" x14ac:dyDescent="0.25">
      <c r="A4" s="6" t="s">
        <v>13</v>
      </c>
      <c r="B4" t="s">
        <v>28</v>
      </c>
    </row>
    <row r="5" spans="1:2" x14ac:dyDescent="0.25">
      <c r="A5" t="s">
        <v>23</v>
      </c>
      <c r="B5" t="s">
        <v>29</v>
      </c>
    </row>
    <row r="6" spans="1:2" x14ac:dyDescent="0.25">
      <c r="A6" t="s">
        <v>26</v>
      </c>
      <c r="B6" t="s">
        <v>20</v>
      </c>
    </row>
    <row r="7" spans="1:2" x14ac:dyDescent="0.25">
      <c r="B7" t="s">
        <v>30</v>
      </c>
    </row>
    <row r="8" spans="1:2" x14ac:dyDescent="0.25">
      <c r="B8" t="s">
        <v>31</v>
      </c>
    </row>
    <row r="9" spans="1:2" x14ac:dyDescent="0.25">
      <c r="B9" t="s">
        <v>19</v>
      </c>
    </row>
    <row r="10" spans="1:2" x14ac:dyDescent="0.25">
      <c r="B10" t="s">
        <v>32</v>
      </c>
    </row>
    <row r="11" spans="1:2" x14ac:dyDescent="0.25">
      <c r="B11" t="s">
        <v>21</v>
      </c>
    </row>
    <row r="12" spans="1:2" x14ac:dyDescent="0.25">
      <c r="B12" t="s">
        <v>7</v>
      </c>
    </row>
    <row r="13" spans="1:2" x14ac:dyDescent="0.25">
      <c r="B13" t="s">
        <v>26</v>
      </c>
    </row>
    <row r="14" spans="1:2" x14ac:dyDescent="0.25">
      <c r="B14" t="s">
        <v>45</v>
      </c>
    </row>
  </sheetData>
  <dataValidations count="1">
    <dataValidation type="list" allowBlank="1" showInputMessage="1" showErrorMessage="1" sqref="B2:B8" xr:uid="{464DAA46-8049-41AD-AF29-19A6E63DBC81}">
      <formula1>$B$2:$B$8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697C8BD7-5107-476E-A86B-4E1794EFA301}">
            <xm:f>NOT(ISERROR(SEARCH($A$4,B6)))</xm:f>
            <xm:f>$A$4</xm:f>
            <x14:dxf>
              <fill>
                <patternFill>
                  <bgColor rgb="FFFF0000"/>
                </patternFill>
              </fill>
            </x14:dxf>
          </x14:cfRule>
          <xm:sqref>B6:B9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1DD9C6-4013-40C3-A3D9-B765C54C37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Candidature</vt:lpstr>
      <vt:lpstr>Crouz</vt:lpstr>
      <vt:lpstr>Contact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Rei</dc:creator>
  <cp:lastModifiedBy>Rafael Rei</cp:lastModifiedBy>
  <dcterms:created xsi:type="dcterms:W3CDTF">2025-11-24T17:46:04Z</dcterms:created>
  <dcterms:modified xsi:type="dcterms:W3CDTF">2025-12-17T14:21:17Z</dcterms:modified>
</cp:coreProperties>
</file>